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UARDAR_AQUI\Series de Tiempo\"/>
    </mc:Choice>
  </mc:AlternateContent>
  <xr:revisionPtr revIDLastSave="0" documentId="13_ncr:1_{8D84C751-366A-48EB-A374-4CFF34C1AB8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OilBrent" sheetId="3" r:id="rId1"/>
    <sheet name="OilBrent Brown" sheetId="1" r:id="rId2"/>
    <sheet name="OilBrent Holt" sheetId="2" r:id="rId3"/>
  </sheets>
  <definedNames>
    <definedName name="solver_adj" localSheetId="1" hidden="1">'OilBrent Brown'!$D$2</definedName>
    <definedName name="solver_adj" localSheetId="2" hidden="1">'OilBrent Holt'!$C$2:$C$3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'OilBrent Brown'!$D$2</definedName>
    <definedName name="solver_lhs1" localSheetId="2" hidden="1">'OilBrent Holt'!$C$2</definedName>
    <definedName name="solver_lhs2" localSheetId="1" hidden="1">'OilBrent Brown'!$D$2</definedName>
    <definedName name="solver_lhs2" localSheetId="2" hidden="1">'OilBrent Holt'!$C$2</definedName>
    <definedName name="solver_lhs3" localSheetId="2" hidden="1">'OilBrent Holt'!$C$3</definedName>
    <definedName name="solver_lhs4" localSheetId="2" hidden="1">'OilBrent Holt'!$C$3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2</definedName>
    <definedName name="solver_num" localSheetId="2" hidden="1">4</definedName>
    <definedName name="solver_nwt" localSheetId="1" hidden="1">1</definedName>
    <definedName name="solver_nwt" localSheetId="2" hidden="1">1</definedName>
    <definedName name="solver_opt" localSheetId="1" hidden="1">'OilBrent Brown'!$M$3</definedName>
    <definedName name="solver_opt" localSheetId="2" hidden="1">'OilBrent Holt'!$L$3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el1" localSheetId="1" hidden="1">1</definedName>
    <definedName name="solver_rel1" localSheetId="2" hidden="1">1</definedName>
    <definedName name="solver_rel2" localSheetId="1" hidden="1">3</definedName>
    <definedName name="solver_rel2" localSheetId="2" hidden="1">3</definedName>
    <definedName name="solver_rel3" localSheetId="2" hidden="1">1</definedName>
    <definedName name="solver_rel4" localSheetId="2" hidden="1">3</definedName>
    <definedName name="solver_rhs1" localSheetId="1" hidden="1">0.99</definedName>
    <definedName name="solver_rhs1" localSheetId="2" hidden="1">0.99</definedName>
    <definedName name="solver_rhs2" localSheetId="1" hidden="1">0.01</definedName>
    <definedName name="solver_rhs2" localSheetId="2" hidden="1">0.01</definedName>
    <definedName name="solver_rhs3" localSheetId="2" hidden="1">0.99</definedName>
    <definedName name="solver_rhs4" localSheetId="2" hidden="1">0.01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3" i="1" l="1"/>
  <c r="E7" i="2"/>
  <c r="E8" i="2" s="1"/>
  <c r="F8" i="2" s="1"/>
  <c r="E9" i="2" s="1"/>
  <c r="F9" i="2" l="1"/>
  <c r="E10" i="2" s="1"/>
  <c r="G8" i="2"/>
  <c r="G7" i="2"/>
  <c r="I8" i="2" l="1"/>
  <c r="J8" i="2"/>
  <c r="G9" i="2"/>
  <c r="F10" i="2"/>
  <c r="E11" i="2" s="1"/>
  <c r="I9" i="2" l="1"/>
  <c r="J9" i="2"/>
  <c r="K9" i="2" s="1"/>
  <c r="K8" i="2"/>
  <c r="G10" i="2"/>
  <c r="F11" i="2"/>
  <c r="E12" i="2" s="1"/>
  <c r="I10" i="2" l="1"/>
  <c r="J10" i="2"/>
  <c r="G11" i="2"/>
  <c r="F12" i="2"/>
  <c r="E13" i="2" s="1"/>
  <c r="I11" i="2" l="1"/>
  <c r="J11" i="2"/>
  <c r="K11" i="2" s="1"/>
  <c r="K10" i="2"/>
  <c r="G12" i="2"/>
  <c r="F13" i="2"/>
  <c r="E14" i="2" s="1"/>
  <c r="I12" i="2" l="1"/>
  <c r="J12" i="2"/>
  <c r="G13" i="2"/>
  <c r="F14" i="2"/>
  <c r="E15" i="2" s="1"/>
  <c r="I13" i="2" l="1"/>
  <c r="J13" i="2"/>
  <c r="K13" i="2" s="1"/>
  <c r="K12" i="2"/>
  <c r="G14" i="2"/>
  <c r="F15" i="2"/>
  <c r="E16" i="2" s="1"/>
  <c r="I14" i="2" l="1"/>
  <c r="J14" i="2"/>
  <c r="G15" i="2"/>
  <c r="F16" i="2"/>
  <c r="E17" i="2" s="1"/>
  <c r="K14" i="2" l="1"/>
  <c r="I15" i="2"/>
  <c r="J15" i="2"/>
  <c r="K15" i="2" s="1"/>
  <c r="G16" i="2"/>
  <c r="F17" i="2"/>
  <c r="E18" i="2" s="1"/>
  <c r="I16" i="2" l="1"/>
  <c r="J16" i="2"/>
  <c r="K16" i="2" s="1"/>
  <c r="G17" i="2"/>
  <c r="F18" i="2"/>
  <c r="E19" i="2" s="1"/>
  <c r="I17" i="2" l="1"/>
  <c r="J17" i="2"/>
  <c r="K17" i="2" s="1"/>
  <c r="G18" i="2"/>
  <c r="F19" i="2"/>
  <c r="E20" i="2" s="1"/>
  <c r="I18" i="2" l="1"/>
  <c r="J18" i="2"/>
  <c r="K18" i="2" s="1"/>
  <c r="G19" i="2"/>
  <c r="F20" i="2"/>
  <c r="E21" i="2" s="1"/>
  <c r="I19" i="2" l="1"/>
  <c r="J19" i="2"/>
  <c r="K19" i="2" s="1"/>
  <c r="G20" i="2"/>
  <c r="F21" i="2"/>
  <c r="E22" i="2" s="1"/>
  <c r="I20" i="2" l="1"/>
  <c r="J20" i="2"/>
  <c r="K20" i="2" s="1"/>
  <c r="G21" i="2"/>
  <c r="F22" i="2"/>
  <c r="E23" i="2" s="1"/>
  <c r="I21" i="2" l="1"/>
  <c r="J21" i="2"/>
  <c r="K21" i="2" s="1"/>
  <c r="G22" i="2"/>
  <c r="F23" i="2"/>
  <c r="E24" i="2" s="1"/>
  <c r="I22" i="2" l="1"/>
  <c r="J22" i="2"/>
  <c r="K22" i="2" s="1"/>
  <c r="G23" i="2"/>
  <c r="F24" i="2"/>
  <c r="E25" i="2" s="1"/>
  <c r="I23" i="2" l="1"/>
  <c r="J23" i="2"/>
  <c r="K23" i="2" s="1"/>
  <c r="G24" i="2"/>
  <c r="F25" i="2"/>
  <c r="E26" i="2" s="1"/>
  <c r="G25" i="2" l="1"/>
  <c r="I24" i="2"/>
  <c r="J24" i="2"/>
  <c r="K24" i="2" s="1"/>
  <c r="F26" i="2"/>
  <c r="E27" i="2" s="1"/>
  <c r="I25" i="2" l="1"/>
  <c r="J25" i="2"/>
  <c r="K25" i="2" s="1"/>
  <c r="G26" i="2"/>
  <c r="F27" i="2"/>
  <c r="E28" i="2" s="1"/>
  <c r="G27" i="2" l="1"/>
  <c r="I26" i="2"/>
  <c r="J26" i="2"/>
  <c r="K26" i="2" s="1"/>
  <c r="F28" i="2"/>
  <c r="E29" i="2" s="1"/>
  <c r="G28" i="2" l="1"/>
  <c r="I27" i="2"/>
  <c r="J27" i="2"/>
  <c r="K27" i="2" s="1"/>
  <c r="F29" i="2"/>
  <c r="E30" i="2" s="1"/>
  <c r="G29" i="2" l="1"/>
  <c r="I28" i="2"/>
  <c r="J28" i="2"/>
  <c r="K28" i="2" s="1"/>
  <c r="F30" i="2"/>
  <c r="E31" i="2" s="1"/>
  <c r="G30" i="2" l="1"/>
  <c r="I29" i="2"/>
  <c r="J29" i="2"/>
  <c r="K29" i="2" s="1"/>
  <c r="F31" i="2"/>
  <c r="E32" i="2" s="1"/>
  <c r="G31" i="2" l="1"/>
  <c r="I30" i="2"/>
  <c r="J30" i="2"/>
  <c r="K30" i="2" s="1"/>
  <c r="F32" i="2"/>
  <c r="E33" i="2" s="1"/>
  <c r="G32" i="2" l="1"/>
  <c r="I31" i="2"/>
  <c r="J31" i="2"/>
  <c r="K31" i="2" s="1"/>
  <c r="F33" i="2"/>
  <c r="E34" i="2" s="1"/>
  <c r="G33" i="2" l="1"/>
  <c r="J33" i="2" s="1"/>
  <c r="K33" i="2" s="1"/>
  <c r="I32" i="2"/>
  <c r="J32" i="2"/>
  <c r="K32" i="2" s="1"/>
  <c r="F34" i="2"/>
  <c r="E35" i="2" s="1"/>
  <c r="I33" i="2" l="1"/>
  <c r="G34" i="2"/>
  <c r="F35" i="2"/>
  <c r="E36" i="2" s="1"/>
  <c r="G35" i="2" l="1"/>
  <c r="I34" i="2"/>
  <c r="J34" i="2"/>
  <c r="K34" i="2" s="1"/>
  <c r="F36" i="2"/>
  <c r="E37" i="2" s="1"/>
  <c r="G36" i="2" l="1"/>
  <c r="I35" i="2"/>
  <c r="J35" i="2"/>
  <c r="K35" i="2" s="1"/>
  <c r="F37" i="2"/>
  <c r="E38" i="2" s="1"/>
  <c r="G37" i="2" l="1"/>
  <c r="I36" i="2"/>
  <c r="J36" i="2"/>
  <c r="K36" i="2" s="1"/>
  <c r="F38" i="2"/>
  <c r="E39" i="2" s="1"/>
  <c r="I37" i="2" l="1"/>
  <c r="J37" i="2"/>
  <c r="K37" i="2" s="1"/>
  <c r="G38" i="2"/>
  <c r="F39" i="2"/>
  <c r="E40" i="2" s="1"/>
  <c r="I38" i="2" l="1"/>
  <c r="J38" i="2"/>
  <c r="K38" i="2" s="1"/>
  <c r="G39" i="2"/>
  <c r="F40" i="2"/>
  <c r="E41" i="2" s="1"/>
  <c r="I39" i="2" l="1"/>
  <c r="J39" i="2"/>
  <c r="K39" i="2" s="1"/>
  <c r="G40" i="2"/>
  <c r="F41" i="2"/>
  <c r="E42" i="2" s="1"/>
  <c r="I40" i="2" l="1"/>
  <c r="J40" i="2"/>
  <c r="K40" i="2" s="1"/>
  <c r="G41" i="2"/>
  <c r="F42" i="2"/>
  <c r="E43" i="2" s="1"/>
  <c r="I41" i="2" l="1"/>
  <c r="J41" i="2"/>
  <c r="K41" i="2" s="1"/>
  <c r="G42" i="2"/>
  <c r="F43" i="2"/>
  <c r="E44" i="2" s="1"/>
  <c r="I42" i="2" l="1"/>
  <c r="J42" i="2"/>
  <c r="K42" i="2" s="1"/>
  <c r="G43" i="2"/>
  <c r="F44" i="2"/>
  <c r="E45" i="2" s="1"/>
  <c r="I43" i="2" l="1"/>
  <c r="J43" i="2"/>
  <c r="K43" i="2" s="1"/>
  <c r="G44" i="2"/>
  <c r="F45" i="2"/>
  <c r="E46" i="2" s="1"/>
  <c r="I44" i="2" l="1"/>
  <c r="J44" i="2"/>
  <c r="K44" i="2" s="1"/>
  <c r="G45" i="2"/>
  <c r="F46" i="2"/>
  <c r="E47" i="2" s="1"/>
  <c r="I45" i="2" l="1"/>
  <c r="J45" i="2"/>
  <c r="K45" i="2" s="1"/>
  <c r="G46" i="2"/>
  <c r="F47" i="2"/>
  <c r="E48" i="2" s="1"/>
  <c r="I46" i="2" l="1"/>
  <c r="J46" i="2"/>
  <c r="K46" i="2" s="1"/>
  <c r="G47" i="2"/>
  <c r="F48" i="2"/>
  <c r="E49" i="2" s="1"/>
  <c r="I47" i="2" l="1"/>
  <c r="J47" i="2"/>
  <c r="K47" i="2" s="1"/>
  <c r="G48" i="2"/>
  <c r="F49" i="2"/>
  <c r="E50" i="2" s="1"/>
  <c r="I48" i="2" l="1"/>
  <c r="J48" i="2"/>
  <c r="K48" i="2" s="1"/>
  <c r="G49" i="2"/>
  <c r="F50" i="2"/>
  <c r="E51" i="2" s="1"/>
  <c r="I49" i="2" l="1"/>
  <c r="J49" i="2"/>
  <c r="K49" i="2" s="1"/>
  <c r="G50" i="2"/>
  <c r="F51" i="2"/>
  <c r="E52" i="2" s="1"/>
  <c r="I50" i="2" l="1"/>
  <c r="J50" i="2"/>
  <c r="K50" i="2" s="1"/>
  <c r="G51" i="2"/>
  <c r="F52" i="2"/>
  <c r="E53" i="2" s="1"/>
  <c r="I51" i="2" l="1"/>
  <c r="J51" i="2"/>
  <c r="K51" i="2" s="1"/>
  <c r="G52" i="2"/>
  <c r="F53" i="2"/>
  <c r="E54" i="2" s="1"/>
  <c r="I52" i="2" l="1"/>
  <c r="J52" i="2"/>
  <c r="K52" i="2" s="1"/>
  <c r="G53" i="2"/>
  <c r="F54" i="2"/>
  <c r="E55" i="2" s="1"/>
  <c r="I53" i="2" l="1"/>
  <c r="J53" i="2"/>
  <c r="K53" i="2" s="1"/>
  <c r="G54" i="2"/>
  <c r="F55" i="2"/>
  <c r="E56" i="2" s="1"/>
  <c r="I54" i="2" l="1"/>
  <c r="J54" i="2"/>
  <c r="K54" i="2" s="1"/>
  <c r="G55" i="2"/>
  <c r="F56" i="2"/>
  <c r="E57" i="2" s="1"/>
  <c r="I55" i="2" l="1"/>
  <c r="J55" i="2"/>
  <c r="K55" i="2" s="1"/>
  <c r="G56" i="2"/>
  <c r="F57" i="2"/>
  <c r="E58" i="2" s="1"/>
  <c r="I56" i="2" l="1"/>
  <c r="J56" i="2"/>
  <c r="K56" i="2" s="1"/>
  <c r="G57" i="2"/>
  <c r="F58" i="2"/>
  <c r="E59" i="2" s="1"/>
  <c r="I57" i="2" l="1"/>
  <c r="J57" i="2"/>
  <c r="K57" i="2" s="1"/>
  <c r="G58" i="2"/>
  <c r="F59" i="2"/>
  <c r="E60" i="2" s="1"/>
  <c r="I58" i="2" l="1"/>
  <c r="J58" i="2"/>
  <c r="K58" i="2" s="1"/>
  <c r="G59" i="2"/>
  <c r="F60" i="2"/>
  <c r="E61" i="2" s="1"/>
  <c r="I59" i="2" l="1"/>
  <c r="J59" i="2"/>
  <c r="K59" i="2" s="1"/>
  <c r="G60" i="2"/>
  <c r="F61" i="2"/>
  <c r="E62" i="2" s="1"/>
  <c r="I60" i="2" l="1"/>
  <c r="J60" i="2"/>
  <c r="K60" i="2" s="1"/>
  <c r="G61" i="2"/>
  <c r="F62" i="2"/>
  <c r="E63" i="2" s="1"/>
  <c r="I61" i="2" l="1"/>
  <c r="J61" i="2"/>
  <c r="K61" i="2" s="1"/>
  <c r="G62" i="2"/>
  <c r="F63" i="2"/>
  <c r="E64" i="2" s="1"/>
  <c r="I62" i="2" l="1"/>
  <c r="J62" i="2"/>
  <c r="K62" i="2" s="1"/>
  <c r="G63" i="2"/>
  <c r="F64" i="2"/>
  <c r="E65" i="2" s="1"/>
  <c r="I63" i="2" l="1"/>
  <c r="J63" i="2"/>
  <c r="K63" i="2" s="1"/>
  <c r="G64" i="2"/>
  <c r="F65" i="2"/>
  <c r="E66" i="2" s="1"/>
  <c r="I64" i="2" l="1"/>
  <c r="J64" i="2"/>
  <c r="K64" i="2" s="1"/>
  <c r="G65" i="2"/>
  <c r="F66" i="2"/>
  <c r="E67" i="2" s="1"/>
  <c r="I65" i="2" l="1"/>
  <c r="J65" i="2"/>
  <c r="K65" i="2" s="1"/>
  <c r="G66" i="2"/>
  <c r="F67" i="2"/>
  <c r="E68" i="2" s="1"/>
  <c r="F7" i="1"/>
  <c r="E7" i="1"/>
  <c r="I66" i="2" l="1"/>
  <c r="J66" i="2"/>
  <c r="K66" i="2" s="1"/>
  <c r="G67" i="2"/>
  <c r="F68" i="2"/>
  <c r="E69" i="2" s="1"/>
  <c r="G7" i="1"/>
  <c r="I7" i="1" s="1"/>
  <c r="E8" i="1"/>
  <c r="F8" i="1" s="1"/>
  <c r="H8" i="1" s="1"/>
  <c r="I67" i="2" l="1"/>
  <c r="J67" i="2"/>
  <c r="K67" i="2" s="1"/>
  <c r="G68" i="2"/>
  <c r="F69" i="2"/>
  <c r="E70" i="2" s="1"/>
  <c r="E9" i="1"/>
  <c r="E10" i="1" s="1"/>
  <c r="G8" i="1"/>
  <c r="I8" i="1" s="1"/>
  <c r="I68" i="2" l="1"/>
  <c r="J68" i="2"/>
  <c r="K68" i="2" s="1"/>
  <c r="G69" i="2"/>
  <c r="F70" i="2"/>
  <c r="E71" i="2" s="1"/>
  <c r="F9" i="1"/>
  <c r="G9" i="1" s="1"/>
  <c r="L8" i="1"/>
  <c r="J8" i="1"/>
  <c r="K8" i="1" s="1"/>
  <c r="E11" i="1"/>
  <c r="I69" i="2" l="1"/>
  <c r="J69" i="2"/>
  <c r="K69" i="2" s="1"/>
  <c r="G70" i="2"/>
  <c r="F71" i="2"/>
  <c r="E72" i="2" s="1"/>
  <c r="F10" i="1"/>
  <c r="G10" i="1" s="1"/>
  <c r="H9" i="1"/>
  <c r="I9" i="1" s="1"/>
  <c r="J9" i="1" s="1"/>
  <c r="K9" i="1" s="1"/>
  <c r="M8" i="1"/>
  <c r="E12" i="1"/>
  <c r="I70" i="2" l="1"/>
  <c r="J70" i="2"/>
  <c r="K70" i="2" s="1"/>
  <c r="G71" i="2"/>
  <c r="F72" i="2"/>
  <c r="E73" i="2" s="1"/>
  <c r="H10" i="1"/>
  <c r="I10" i="1" s="1"/>
  <c r="L9" i="1"/>
  <c r="M9" i="1" s="1"/>
  <c r="F11" i="1"/>
  <c r="E13" i="1"/>
  <c r="I71" i="2" l="1"/>
  <c r="J71" i="2"/>
  <c r="K71" i="2" s="1"/>
  <c r="G72" i="2"/>
  <c r="F73" i="2"/>
  <c r="E74" i="2" s="1"/>
  <c r="H11" i="1"/>
  <c r="G11" i="1"/>
  <c r="F12" i="1"/>
  <c r="L10" i="1"/>
  <c r="J10" i="1"/>
  <c r="K10" i="1" s="1"/>
  <c r="E14" i="1"/>
  <c r="I72" i="2" l="1"/>
  <c r="J72" i="2"/>
  <c r="K72" i="2" s="1"/>
  <c r="G73" i="2"/>
  <c r="F74" i="2"/>
  <c r="E75" i="2" s="1"/>
  <c r="I11" i="1"/>
  <c r="H12" i="1"/>
  <c r="G12" i="1"/>
  <c r="I12" i="1" s="1"/>
  <c r="L12" i="1" s="1"/>
  <c r="M12" i="1" s="1"/>
  <c r="F13" i="1"/>
  <c r="H13" i="1" s="1"/>
  <c r="M10" i="1"/>
  <c r="E15" i="1"/>
  <c r="I73" i="2" l="1"/>
  <c r="J73" i="2"/>
  <c r="K73" i="2" s="1"/>
  <c r="G74" i="2"/>
  <c r="F75" i="2"/>
  <c r="E76" i="2" s="1"/>
  <c r="F14" i="1"/>
  <c r="G14" i="1" s="1"/>
  <c r="J12" i="1"/>
  <c r="K12" i="1" s="1"/>
  <c r="G13" i="1"/>
  <c r="L11" i="1"/>
  <c r="M11" i="1" s="1"/>
  <c r="J11" i="1"/>
  <c r="K11" i="1" s="1"/>
  <c r="F15" i="1"/>
  <c r="H15" i="1" s="1"/>
  <c r="H14" i="1"/>
  <c r="I14" i="1" s="1"/>
  <c r="I13" i="1"/>
  <c r="E16" i="1"/>
  <c r="I74" i="2" l="1"/>
  <c r="J74" i="2"/>
  <c r="K74" i="2" s="1"/>
  <c r="G75" i="2"/>
  <c r="F76" i="2"/>
  <c r="E77" i="2" s="1"/>
  <c r="G15" i="1"/>
  <c r="I15" i="1" s="1"/>
  <c r="L15" i="1" s="1"/>
  <c r="M15" i="1" s="1"/>
  <c r="L14" i="1"/>
  <c r="M14" i="1" s="1"/>
  <c r="J14" i="1"/>
  <c r="K14" i="1" s="1"/>
  <c r="L13" i="1"/>
  <c r="J13" i="1"/>
  <c r="K13" i="1" s="1"/>
  <c r="E17" i="1"/>
  <c r="F16" i="1"/>
  <c r="I75" i="2" l="1"/>
  <c r="J75" i="2"/>
  <c r="K75" i="2" s="1"/>
  <c r="G76" i="2"/>
  <c r="F77" i="2"/>
  <c r="E78" i="2" s="1"/>
  <c r="J15" i="1"/>
  <c r="K15" i="1" s="1"/>
  <c r="F17" i="1"/>
  <c r="H17" i="1" s="1"/>
  <c r="M13" i="1"/>
  <c r="E18" i="1"/>
  <c r="G16" i="1"/>
  <c r="H16" i="1"/>
  <c r="I76" i="2" l="1"/>
  <c r="J76" i="2"/>
  <c r="K76" i="2" s="1"/>
  <c r="G77" i="2"/>
  <c r="F78" i="2"/>
  <c r="E79" i="2" s="1"/>
  <c r="G17" i="1"/>
  <c r="I17" i="1" s="1"/>
  <c r="I16" i="1"/>
  <c r="E19" i="1"/>
  <c r="F18" i="1"/>
  <c r="I77" i="2" l="1"/>
  <c r="J77" i="2"/>
  <c r="K77" i="2" s="1"/>
  <c r="G78" i="2"/>
  <c r="F79" i="2"/>
  <c r="E80" i="2" s="1"/>
  <c r="F19" i="1"/>
  <c r="G19" i="1" s="1"/>
  <c r="L16" i="1"/>
  <c r="J16" i="1"/>
  <c r="K16" i="1" s="1"/>
  <c r="J17" i="1"/>
  <c r="K17" i="1" s="1"/>
  <c r="L17" i="1"/>
  <c r="M17" i="1" s="1"/>
  <c r="G18" i="1"/>
  <c r="H18" i="1"/>
  <c r="E20" i="1"/>
  <c r="I78" i="2" l="1"/>
  <c r="J78" i="2"/>
  <c r="K78" i="2" s="1"/>
  <c r="G79" i="2"/>
  <c r="F80" i="2"/>
  <c r="E81" i="2" s="1"/>
  <c r="H19" i="1"/>
  <c r="F20" i="1"/>
  <c r="H20" i="1" s="1"/>
  <c r="I18" i="1"/>
  <c r="I19" i="1"/>
  <c r="M16" i="1"/>
  <c r="E21" i="1"/>
  <c r="I79" i="2" l="1"/>
  <c r="J79" i="2"/>
  <c r="K79" i="2" s="1"/>
  <c r="G80" i="2"/>
  <c r="F81" i="2"/>
  <c r="E82" i="2" s="1"/>
  <c r="G20" i="1"/>
  <c r="I20" i="1" s="1"/>
  <c r="L20" i="1" s="1"/>
  <c r="M20" i="1" s="1"/>
  <c r="L19" i="1"/>
  <c r="M19" i="1" s="1"/>
  <c r="J19" i="1"/>
  <c r="K19" i="1" s="1"/>
  <c r="L18" i="1"/>
  <c r="M18" i="1" s="1"/>
  <c r="J18" i="1"/>
  <c r="K18" i="1" s="1"/>
  <c r="E22" i="1"/>
  <c r="F21" i="1"/>
  <c r="H21" i="1" s="1"/>
  <c r="I80" i="2" l="1"/>
  <c r="J80" i="2"/>
  <c r="K80" i="2" s="1"/>
  <c r="G81" i="2"/>
  <c r="F82" i="2"/>
  <c r="E83" i="2" s="1"/>
  <c r="J20" i="1"/>
  <c r="K20" i="1" s="1"/>
  <c r="F22" i="1"/>
  <c r="H22" i="1" s="1"/>
  <c r="G21" i="1"/>
  <c r="I21" i="1" s="1"/>
  <c r="E23" i="1"/>
  <c r="I81" i="2" l="1"/>
  <c r="J81" i="2"/>
  <c r="K81" i="2" s="1"/>
  <c r="G82" i="2"/>
  <c r="F83" i="2"/>
  <c r="E84" i="2" s="1"/>
  <c r="G22" i="1"/>
  <c r="I22" i="1" s="1"/>
  <c r="L21" i="1"/>
  <c r="M21" i="1" s="1"/>
  <c r="J21" i="1"/>
  <c r="K21" i="1" s="1"/>
  <c r="E24" i="1"/>
  <c r="F23" i="1"/>
  <c r="F24" i="1" s="1"/>
  <c r="I82" i="2" l="1"/>
  <c r="J82" i="2"/>
  <c r="K82" i="2" s="1"/>
  <c r="G83" i="2"/>
  <c r="F84" i="2"/>
  <c r="E85" i="2" s="1"/>
  <c r="J22" i="1"/>
  <c r="K22" i="1" s="1"/>
  <c r="L22" i="1"/>
  <c r="M22" i="1" s="1"/>
  <c r="G23" i="1"/>
  <c r="H23" i="1"/>
  <c r="E25" i="1"/>
  <c r="H24" i="1"/>
  <c r="G24" i="1"/>
  <c r="I83" i="2" l="1"/>
  <c r="J83" i="2"/>
  <c r="K83" i="2" s="1"/>
  <c r="G84" i="2"/>
  <c r="F85" i="2"/>
  <c r="E86" i="2" s="1"/>
  <c r="I24" i="1"/>
  <c r="L24" i="1" s="1"/>
  <c r="M24" i="1" s="1"/>
  <c r="E26" i="1"/>
  <c r="I23" i="1"/>
  <c r="F25" i="1"/>
  <c r="I84" i="2" l="1"/>
  <c r="J84" i="2"/>
  <c r="K84" i="2" s="1"/>
  <c r="G85" i="2"/>
  <c r="F86" i="2"/>
  <c r="E87" i="2" s="1"/>
  <c r="F26" i="1"/>
  <c r="J24" i="1"/>
  <c r="K24" i="1" s="1"/>
  <c r="J23" i="1"/>
  <c r="K23" i="1" s="1"/>
  <c r="L23" i="1"/>
  <c r="M23" i="1" s="1"/>
  <c r="H25" i="1"/>
  <c r="G25" i="1"/>
  <c r="E27" i="1"/>
  <c r="G26" i="1"/>
  <c r="H26" i="1"/>
  <c r="I85" i="2" l="1"/>
  <c r="J85" i="2"/>
  <c r="K85" i="2" s="1"/>
  <c r="G86" i="2"/>
  <c r="F87" i="2"/>
  <c r="E88" i="2" s="1"/>
  <c r="I25" i="1"/>
  <c r="I26" i="1"/>
  <c r="E28" i="1"/>
  <c r="F27" i="1"/>
  <c r="I86" i="2" l="1"/>
  <c r="J86" i="2"/>
  <c r="K86" i="2" s="1"/>
  <c r="G87" i="2"/>
  <c r="F88" i="2"/>
  <c r="E89" i="2" s="1"/>
  <c r="F28" i="1"/>
  <c r="G28" i="1" s="1"/>
  <c r="L25" i="1"/>
  <c r="M25" i="1" s="1"/>
  <c r="J25" i="1"/>
  <c r="K25" i="1" s="1"/>
  <c r="L26" i="1"/>
  <c r="M26" i="1" s="1"/>
  <c r="J26" i="1"/>
  <c r="K26" i="1" s="1"/>
  <c r="G27" i="1"/>
  <c r="H27" i="1"/>
  <c r="E29" i="1"/>
  <c r="H28" i="1"/>
  <c r="I87" i="2" l="1"/>
  <c r="J87" i="2"/>
  <c r="K87" i="2" s="1"/>
  <c r="G88" i="2"/>
  <c r="F89" i="2"/>
  <c r="E90" i="2" s="1"/>
  <c r="I28" i="1"/>
  <c r="L28" i="1" s="1"/>
  <c r="M28" i="1" s="1"/>
  <c r="E30" i="1"/>
  <c r="I27" i="1"/>
  <c r="F29" i="1"/>
  <c r="I88" i="2" l="1"/>
  <c r="J88" i="2"/>
  <c r="K88" i="2" s="1"/>
  <c r="G89" i="2"/>
  <c r="F90" i="2"/>
  <c r="E91" i="2" s="1"/>
  <c r="J28" i="1"/>
  <c r="K28" i="1" s="1"/>
  <c r="F30" i="1"/>
  <c r="G30" i="1" s="1"/>
  <c r="L27" i="1"/>
  <c r="M27" i="1" s="1"/>
  <c r="J27" i="1"/>
  <c r="K27" i="1" s="1"/>
  <c r="H29" i="1"/>
  <c r="G29" i="1"/>
  <c r="E31" i="1"/>
  <c r="H30" i="1"/>
  <c r="I89" i="2" l="1"/>
  <c r="J89" i="2"/>
  <c r="K89" i="2" s="1"/>
  <c r="G90" i="2"/>
  <c r="F91" i="2"/>
  <c r="E92" i="2" s="1"/>
  <c r="I30" i="1"/>
  <c r="L30" i="1"/>
  <c r="M30" i="1" s="1"/>
  <c r="J30" i="1"/>
  <c r="K30" i="1" s="1"/>
  <c r="I29" i="1"/>
  <c r="E32" i="1"/>
  <c r="F31" i="1"/>
  <c r="I90" i="2" l="1"/>
  <c r="J90" i="2"/>
  <c r="K90" i="2" s="1"/>
  <c r="G91" i="2"/>
  <c r="F92" i="2"/>
  <c r="E93" i="2" s="1"/>
  <c r="F32" i="1"/>
  <c r="L29" i="1"/>
  <c r="M29" i="1" s="1"/>
  <c r="J29" i="1"/>
  <c r="K29" i="1" s="1"/>
  <c r="G31" i="1"/>
  <c r="H31" i="1"/>
  <c r="E33" i="1"/>
  <c r="H32" i="1"/>
  <c r="G32" i="1"/>
  <c r="I91" i="2" l="1"/>
  <c r="J91" i="2"/>
  <c r="K91" i="2" s="1"/>
  <c r="G92" i="2"/>
  <c r="F93" i="2"/>
  <c r="E94" i="2" s="1"/>
  <c r="I32" i="1"/>
  <c r="L32" i="1"/>
  <c r="M32" i="1" s="1"/>
  <c r="J32" i="1"/>
  <c r="K32" i="1" s="1"/>
  <c r="E34" i="1"/>
  <c r="I31" i="1"/>
  <c r="F33" i="1"/>
  <c r="I92" i="2" l="1"/>
  <c r="J92" i="2"/>
  <c r="K92" i="2" s="1"/>
  <c r="G93" i="2"/>
  <c r="F94" i="2"/>
  <c r="E95" i="2" s="1"/>
  <c r="F34" i="1"/>
  <c r="L31" i="1"/>
  <c r="M31" i="1" s="1"/>
  <c r="J31" i="1"/>
  <c r="K31" i="1" s="1"/>
  <c r="H33" i="1"/>
  <c r="G33" i="1"/>
  <c r="E35" i="1"/>
  <c r="G34" i="1"/>
  <c r="H34" i="1"/>
  <c r="I93" i="2" l="1"/>
  <c r="J93" i="2"/>
  <c r="K93" i="2" s="1"/>
  <c r="G94" i="2"/>
  <c r="F95" i="2"/>
  <c r="E96" i="2" s="1"/>
  <c r="I33" i="1"/>
  <c r="I34" i="1"/>
  <c r="E36" i="1"/>
  <c r="F35" i="1"/>
  <c r="F36" i="1" s="1"/>
  <c r="I94" i="2" l="1"/>
  <c r="J94" i="2"/>
  <c r="K94" i="2" s="1"/>
  <c r="G95" i="2"/>
  <c r="F96" i="2"/>
  <c r="E97" i="2" s="1"/>
  <c r="J33" i="1"/>
  <c r="K33" i="1" s="1"/>
  <c r="L33" i="1"/>
  <c r="M33" i="1" s="1"/>
  <c r="L34" i="1"/>
  <c r="M34" i="1" s="1"/>
  <c r="J34" i="1"/>
  <c r="K34" i="1" s="1"/>
  <c r="G35" i="1"/>
  <c r="E37" i="1"/>
  <c r="H36" i="1"/>
  <c r="G36" i="1"/>
  <c r="H35" i="1"/>
  <c r="I95" i="2" l="1"/>
  <c r="J95" i="2"/>
  <c r="K95" i="2" s="1"/>
  <c r="G96" i="2"/>
  <c r="F97" i="2"/>
  <c r="E98" i="2" s="1"/>
  <c r="I36" i="1"/>
  <c r="E38" i="1"/>
  <c r="F37" i="1"/>
  <c r="I35" i="1"/>
  <c r="I96" i="2" l="1"/>
  <c r="J96" i="2"/>
  <c r="K96" i="2" s="1"/>
  <c r="G97" i="2"/>
  <c r="F98" i="2"/>
  <c r="E99" i="2" s="1"/>
  <c r="F38" i="1"/>
  <c r="G38" i="1" s="1"/>
  <c r="L35" i="1"/>
  <c r="M35" i="1" s="1"/>
  <c r="J35" i="1"/>
  <c r="K35" i="1" s="1"/>
  <c r="L36" i="1"/>
  <c r="M36" i="1" s="1"/>
  <c r="J36" i="1"/>
  <c r="K36" i="1" s="1"/>
  <c r="G37" i="1"/>
  <c r="H37" i="1"/>
  <c r="E39" i="1"/>
  <c r="H38" i="1"/>
  <c r="I97" i="2" l="1"/>
  <c r="J97" i="2"/>
  <c r="K97" i="2" s="1"/>
  <c r="G98" i="2"/>
  <c r="F99" i="2"/>
  <c r="E100" i="2" s="1"/>
  <c r="I38" i="1"/>
  <c r="I37" i="1"/>
  <c r="E40" i="1"/>
  <c r="F39" i="1"/>
  <c r="F40" i="1" s="1"/>
  <c r="I98" i="2" l="1"/>
  <c r="J98" i="2"/>
  <c r="K98" i="2" s="1"/>
  <c r="G99" i="2"/>
  <c r="F100" i="2"/>
  <c r="E101" i="2" s="1"/>
  <c r="L37" i="1"/>
  <c r="M37" i="1" s="1"/>
  <c r="J37" i="1"/>
  <c r="K37" i="1" s="1"/>
  <c r="L38" i="1"/>
  <c r="M38" i="1" s="1"/>
  <c r="J38" i="1"/>
  <c r="K38" i="1" s="1"/>
  <c r="G39" i="1"/>
  <c r="E41" i="1"/>
  <c r="H40" i="1"/>
  <c r="G40" i="1"/>
  <c r="H39" i="1"/>
  <c r="I99" i="2" l="1"/>
  <c r="J99" i="2"/>
  <c r="K99" i="2" s="1"/>
  <c r="G100" i="2"/>
  <c r="F101" i="2"/>
  <c r="E102" i="2" s="1"/>
  <c r="E42" i="1"/>
  <c r="I40" i="1"/>
  <c r="F41" i="1"/>
  <c r="F42" i="1" s="1"/>
  <c r="I39" i="1"/>
  <c r="I100" i="2" l="1"/>
  <c r="J100" i="2"/>
  <c r="K100" i="2" s="1"/>
  <c r="G101" i="2"/>
  <c r="F102" i="2"/>
  <c r="E103" i="2" s="1"/>
  <c r="L39" i="1"/>
  <c r="M39" i="1" s="1"/>
  <c r="J39" i="1"/>
  <c r="K39" i="1" s="1"/>
  <c r="L40" i="1"/>
  <c r="M40" i="1" s="1"/>
  <c r="J40" i="1"/>
  <c r="K40" i="1" s="1"/>
  <c r="H41" i="1"/>
  <c r="G41" i="1"/>
  <c r="E43" i="1"/>
  <c r="G42" i="1"/>
  <c r="H42" i="1"/>
  <c r="I101" i="2" l="1"/>
  <c r="J101" i="2"/>
  <c r="K101" i="2" s="1"/>
  <c r="G102" i="2"/>
  <c r="F103" i="2"/>
  <c r="E104" i="2" s="1"/>
  <c r="I41" i="1"/>
  <c r="I42" i="1"/>
  <c r="E44" i="1"/>
  <c r="F43" i="1"/>
  <c r="I102" i="2" l="1"/>
  <c r="J102" i="2"/>
  <c r="K102" i="2" s="1"/>
  <c r="G103" i="2"/>
  <c r="F104" i="2"/>
  <c r="E105" i="2" s="1"/>
  <c r="F44" i="1"/>
  <c r="L42" i="1"/>
  <c r="M42" i="1" s="1"/>
  <c r="J42" i="1"/>
  <c r="K42" i="1" s="1"/>
  <c r="J41" i="1"/>
  <c r="K41" i="1" s="1"/>
  <c r="L41" i="1"/>
  <c r="M41" i="1" s="1"/>
  <c r="H43" i="1"/>
  <c r="G43" i="1"/>
  <c r="E45" i="1"/>
  <c r="H44" i="1"/>
  <c r="G44" i="1"/>
  <c r="I103" i="2" l="1"/>
  <c r="J103" i="2"/>
  <c r="K103" i="2" s="1"/>
  <c r="G104" i="2"/>
  <c r="F105" i="2"/>
  <c r="E106" i="2" s="1"/>
  <c r="I43" i="1"/>
  <c r="I44" i="1"/>
  <c r="E46" i="1"/>
  <c r="F45" i="1"/>
  <c r="F46" i="1" s="1"/>
  <c r="I104" i="2" l="1"/>
  <c r="J104" i="2"/>
  <c r="K104" i="2" s="1"/>
  <c r="G105" i="2"/>
  <c r="F106" i="2"/>
  <c r="E107" i="2" s="1"/>
  <c r="L44" i="1"/>
  <c r="M44" i="1" s="1"/>
  <c r="J44" i="1"/>
  <c r="K44" i="1" s="1"/>
  <c r="L43" i="1"/>
  <c r="M43" i="1" s="1"/>
  <c r="J43" i="1"/>
  <c r="K43" i="1" s="1"/>
  <c r="H45" i="1"/>
  <c r="G45" i="1"/>
  <c r="E47" i="1"/>
  <c r="H46" i="1"/>
  <c r="G46" i="1"/>
  <c r="I105" i="2" l="1"/>
  <c r="J105" i="2"/>
  <c r="K105" i="2" s="1"/>
  <c r="G106" i="2"/>
  <c r="F107" i="2"/>
  <c r="E108" i="2" s="1"/>
  <c r="I45" i="1"/>
  <c r="L45" i="1"/>
  <c r="M45" i="1" s="1"/>
  <c r="J45" i="1"/>
  <c r="K45" i="1" s="1"/>
  <c r="I46" i="1"/>
  <c r="E48" i="1"/>
  <c r="F47" i="1"/>
  <c r="I106" i="2" l="1"/>
  <c r="J106" i="2"/>
  <c r="K106" i="2" s="1"/>
  <c r="G107" i="2"/>
  <c r="F108" i="2"/>
  <c r="E109" i="2" s="1"/>
  <c r="F48" i="1"/>
  <c r="G48" i="1" s="1"/>
  <c r="J46" i="1"/>
  <c r="K46" i="1" s="1"/>
  <c r="L46" i="1"/>
  <c r="M46" i="1" s="1"/>
  <c r="G47" i="1"/>
  <c r="H47" i="1"/>
  <c r="E49" i="1"/>
  <c r="I107" i="2" l="1"/>
  <c r="J107" i="2"/>
  <c r="K107" i="2" s="1"/>
  <c r="G108" i="2"/>
  <c r="F109" i="2"/>
  <c r="E110" i="2" s="1"/>
  <c r="H48" i="1"/>
  <c r="I48" i="1" s="1"/>
  <c r="E50" i="1"/>
  <c r="I47" i="1"/>
  <c r="F49" i="1"/>
  <c r="F50" i="1" s="1"/>
  <c r="I108" i="2" l="1"/>
  <c r="J108" i="2"/>
  <c r="K108" i="2" s="1"/>
  <c r="G109" i="2"/>
  <c r="F110" i="2"/>
  <c r="E111" i="2" s="1"/>
  <c r="L47" i="1"/>
  <c r="M47" i="1" s="1"/>
  <c r="J47" i="1"/>
  <c r="K47" i="1" s="1"/>
  <c r="L48" i="1"/>
  <c r="M48" i="1" s="1"/>
  <c r="J48" i="1"/>
  <c r="K48" i="1" s="1"/>
  <c r="G49" i="1"/>
  <c r="H49" i="1"/>
  <c r="E51" i="1"/>
  <c r="G50" i="1"/>
  <c r="H50" i="1"/>
  <c r="I109" i="2" l="1"/>
  <c r="J109" i="2"/>
  <c r="K109" i="2" s="1"/>
  <c r="G110" i="2"/>
  <c r="F111" i="2"/>
  <c r="E112" i="2" s="1"/>
  <c r="I50" i="1"/>
  <c r="E52" i="1"/>
  <c r="F51" i="1"/>
  <c r="F52" i="1" s="1"/>
  <c r="I49" i="1"/>
  <c r="I110" i="2" l="1"/>
  <c r="J110" i="2"/>
  <c r="K110" i="2" s="1"/>
  <c r="G111" i="2"/>
  <c r="F112" i="2"/>
  <c r="E113" i="2" s="1"/>
  <c r="J49" i="1"/>
  <c r="K49" i="1" s="1"/>
  <c r="L49" i="1"/>
  <c r="M49" i="1" s="1"/>
  <c r="L50" i="1"/>
  <c r="M50" i="1" s="1"/>
  <c r="J50" i="1"/>
  <c r="K50" i="1" s="1"/>
  <c r="G51" i="1"/>
  <c r="H51" i="1"/>
  <c r="E53" i="1"/>
  <c r="F53" i="1" s="1"/>
  <c r="H52" i="1"/>
  <c r="G52" i="1"/>
  <c r="I111" i="2" l="1"/>
  <c r="J111" i="2"/>
  <c r="K111" i="2" s="1"/>
  <c r="G112" i="2"/>
  <c r="F113" i="2"/>
  <c r="E114" i="2" s="1"/>
  <c r="I52" i="1"/>
  <c r="E54" i="1"/>
  <c r="H53" i="1"/>
  <c r="G53" i="1"/>
  <c r="I51" i="1"/>
  <c r="I112" i="2" l="1"/>
  <c r="J112" i="2"/>
  <c r="K112" i="2" s="1"/>
  <c r="G113" i="2"/>
  <c r="F114" i="2"/>
  <c r="E115" i="2" s="1"/>
  <c r="I53" i="1"/>
  <c r="L53" i="1" s="1"/>
  <c r="M53" i="1" s="1"/>
  <c r="L51" i="1"/>
  <c r="M51" i="1" s="1"/>
  <c r="J51" i="1"/>
  <c r="K51" i="1" s="1"/>
  <c r="L52" i="1"/>
  <c r="M52" i="1" s="1"/>
  <c r="J52" i="1"/>
  <c r="K52" i="1" s="1"/>
  <c r="E55" i="1"/>
  <c r="F54" i="1"/>
  <c r="I113" i="2" l="1"/>
  <c r="J113" i="2"/>
  <c r="K113" i="2" s="1"/>
  <c r="G114" i="2"/>
  <c r="F115" i="2"/>
  <c r="E116" i="2" s="1"/>
  <c r="J53" i="1"/>
  <c r="K53" i="1" s="1"/>
  <c r="F55" i="1"/>
  <c r="H55" i="1" s="1"/>
  <c r="H54" i="1"/>
  <c r="G54" i="1"/>
  <c r="E56" i="1"/>
  <c r="I114" i="2" l="1"/>
  <c r="J114" i="2"/>
  <c r="K114" i="2" s="1"/>
  <c r="G115" i="2"/>
  <c r="F116" i="2"/>
  <c r="E117" i="2" s="1"/>
  <c r="I54" i="1"/>
  <c r="F56" i="1"/>
  <c r="G55" i="1"/>
  <c r="I55" i="1" s="1"/>
  <c r="L55" i="1" s="1"/>
  <c r="M55" i="1" s="1"/>
  <c r="L54" i="1"/>
  <c r="M54" i="1" s="1"/>
  <c r="J54" i="1"/>
  <c r="K54" i="1" s="1"/>
  <c r="E57" i="1"/>
  <c r="H56" i="1"/>
  <c r="G56" i="1"/>
  <c r="I115" i="2" l="1"/>
  <c r="J115" i="2"/>
  <c r="K115" i="2" s="1"/>
  <c r="G116" i="2"/>
  <c r="F117" i="2"/>
  <c r="E118" i="2" s="1"/>
  <c r="J55" i="1"/>
  <c r="K55" i="1" s="1"/>
  <c r="I56" i="1"/>
  <c r="L56" i="1" s="1"/>
  <c r="M56" i="1" s="1"/>
  <c r="E58" i="1"/>
  <c r="F57" i="1"/>
  <c r="F58" i="1" s="1"/>
  <c r="I116" i="2" l="1"/>
  <c r="J116" i="2"/>
  <c r="K116" i="2" s="1"/>
  <c r="G117" i="2"/>
  <c r="F118" i="2"/>
  <c r="E119" i="2" s="1"/>
  <c r="J56" i="1"/>
  <c r="K56" i="1" s="1"/>
  <c r="G57" i="1"/>
  <c r="H57" i="1"/>
  <c r="E59" i="1"/>
  <c r="G58" i="1"/>
  <c r="H58" i="1"/>
  <c r="I117" i="2" l="1"/>
  <c r="J117" i="2"/>
  <c r="K117" i="2" s="1"/>
  <c r="G118" i="2"/>
  <c r="F119" i="2"/>
  <c r="E120" i="2" s="1"/>
  <c r="I58" i="1"/>
  <c r="I57" i="1"/>
  <c r="E60" i="1"/>
  <c r="F59" i="1"/>
  <c r="F60" i="1" s="1"/>
  <c r="I118" i="2" l="1"/>
  <c r="J118" i="2"/>
  <c r="K118" i="2" s="1"/>
  <c r="G119" i="2"/>
  <c r="F120" i="2"/>
  <c r="E121" i="2" s="1"/>
  <c r="J57" i="1"/>
  <c r="K57" i="1" s="1"/>
  <c r="L57" i="1"/>
  <c r="M57" i="1" s="1"/>
  <c r="L58" i="1"/>
  <c r="M58" i="1" s="1"/>
  <c r="J58" i="1"/>
  <c r="K58" i="1" s="1"/>
  <c r="H59" i="1"/>
  <c r="G59" i="1"/>
  <c r="E61" i="1"/>
  <c r="F61" i="1" s="1"/>
  <c r="H60" i="1"/>
  <c r="G60" i="1"/>
  <c r="I119" i="2" l="1"/>
  <c r="J119" i="2"/>
  <c r="K119" i="2" s="1"/>
  <c r="G120" i="2"/>
  <c r="F121" i="2"/>
  <c r="E122" i="2" s="1"/>
  <c r="I59" i="1"/>
  <c r="I60" i="1"/>
  <c r="E62" i="1"/>
  <c r="G61" i="1"/>
  <c r="H61" i="1"/>
  <c r="I120" i="2" l="1"/>
  <c r="J120" i="2"/>
  <c r="K120" i="2" s="1"/>
  <c r="G121" i="2"/>
  <c r="F122" i="2"/>
  <c r="E123" i="2" s="1"/>
  <c r="L60" i="1"/>
  <c r="M60" i="1" s="1"/>
  <c r="J60" i="1"/>
  <c r="K60" i="1" s="1"/>
  <c r="L59" i="1"/>
  <c r="M59" i="1" s="1"/>
  <c r="J59" i="1"/>
  <c r="K59" i="1" s="1"/>
  <c r="E63" i="1"/>
  <c r="I61" i="1"/>
  <c r="F62" i="1"/>
  <c r="I121" i="2" l="1"/>
  <c r="J121" i="2"/>
  <c r="K121" i="2" s="1"/>
  <c r="G122" i="2"/>
  <c r="F123" i="2"/>
  <c r="E124" i="2" s="1"/>
  <c r="F63" i="1"/>
  <c r="L61" i="1"/>
  <c r="M61" i="1" s="1"/>
  <c r="J61" i="1"/>
  <c r="K61" i="1" s="1"/>
  <c r="H62" i="1"/>
  <c r="G62" i="1"/>
  <c r="E64" i="1"/>
  <c r="H63" i="1"/>
  <c r="G63" i="1"/>
  <c r="I122" i="2" l="1"/>
  <c r="J122" i="2"/>
  <c r="K122" i="2" s="1"/>
  <c r="G123" i="2"/>
  <c r="F124" i="2"/>
  <c r="E125" i="2" s="1"/>
  <c r="I62" i="1"/>
  <c r="I63" i="1"/>
  <c r="L62" i="1"/>
  <c r="M62" i="1" s="1"/>
  <c r="J62" i="1"/>
  <c r="K62" i="1" s="1"/>
  <c r="E65" i="1"/>
  <c r="F64" i="1"/>
  <c r="I123" i="2" l="1"/>
  <c r="J123" i="2"/>
  <c r="K123" i="2" s="1"/>
  <c r="G124" i="2"/>
  <c r="F125" i="2"/>
  <c r="E126" i="2" s="1"/>
  <c r="F65" i="1"/>
  <c r="L63" i="1"/>
  <c r="M63" i="1" s="1"/>
  <c r="J63" i="1"/>
  <c r="K63" i="1" s="1"/>
  <c r="H64" i="1"/>
  <c r="G64" i="1"/>
  <c r="E66" i="1"/>
  <c r="G65" i="1"/>
  <c r="H65" i="1"/>
  <c r="I124" i="2" l="1"/>
  <c r="J124" i="2"/>
  <c r="K124" i="2" s="1"/>
  <c r="G125" i="2"/>
  <c r="F126" i="2"/>
  <c r="E127" i="2" s="1"/>
  <c r="I64" i="1"/>
  <c r="L64" i="1"/>
  <c r="M64" i="1" s="1"/>
  <c r="J64" i="1"/>
  <c r="K64" i="1" s="1"/>
  <c r="I65" i="1"/>
  <c r="E67" i="1"/>
  <c r="F66" i="1"/>
  <c r="F67" i="1" s="1"/>
  <c r="I125" i="2" l="1"/>
  <c r="J125" i="2"/>
  <c r="K125" i="2" s="1"/>
  <c r="G126" i="2"/>
  <c r="F127" i="2"/>
  <c r="E128" i="2" s="1"/>
  <c r="J65" i="1"/>
  <c r="K65" i="1" s="1"/>
  <c r="L65" i="1"/>
  <c r="M65" i="1" s="1"/>
  <c r="G66" i="1"/>
  <c r="H66" i="1"/>
  <c r="E68" i="1"/>
  <c r="H67" i="1"/>
  <c r="G67" i="1"/>
  <c r="I126" i="2" l="1"/>
  <c r="J126" i="2"/>
  <c r="K126" i="2" s="1"/>
  <c r="G127" i="2"/>
  <c r="F128" i="2"/>
  <c r="E129" i="2" s="1"/>
  <c r="I67" i="1"/>
  <c r="L67" i="1" s="1"/>
  <c r="M67" i="1" s="1"/>
  <c r="E69" i="1"/>
  <c r="I66" i="1"/>
  <c r="F68" i="1"/>
  <c r="I127" i="2" l="1"/>
  <c r="J127" i="2"/>
  <c r="K127" i="2" s="1"/>
  <c r="G128" i="2"/>
  <c r="F129" i="2"/>
  <c r="E130" i="2" s="1"/>
  <c r="J67" i="1"/>
  <c r="K67" i="1" s="1"/>
  <c r="F69" i="1"/>
  <c r="H69" i="1" s="1"/>
  <c r="L66" i="1"/>
  <c r="M66" i="1" s="1"/>
  <c r="J66" i="1"/>
  <c r="K66" i="1" s="1"/>
  <c r="H68" i="1"/>
  <c r="G68" i="1"/>
  <c r="E70" i="1"/>
  <c r="G69" i="1"/>
  <c r="I128" i="2" l="1"/>
  <c r="J128" i="2"/>
  <c r="K128" i="2" s="1"/>
  <c r="G129" i="2"/>
  <c r="F130" i="2"/>
  <c r="E131" i="2" s="1"/>
  <c r="I68" i="1"/>
  <c r="L68" i="1"/>
  <c r="M68" i="1" s="1"/>
  <c r="J68" i="1"/>
  <c r="K68" i="1" s="1"/>
  <c r="I69" i="1"/>
  <c r="E71" i="1"/>
  <c r="F70" i="1"/>
  <c r="I129" i="2" l="1"/>
  <c r="J129" i="2"/>
  <c r="K129" i="2" s="1"/>
  <c r="G130" i="2"/>
  <c r="F131" i="2"/>
  <c r="E132" i="2" s="1"/>
  <c r="F71" i="1"/>
  <c r="L69" i="1"/>
  <c r="M69" i="1" s="1"/>
  <c r="J69" i="1"/>
  <c r="K69" i="1" s="1"/>
  <c r="H70" i="1"/>
  <c r="G70" i="1"/>
  <c r="E72" i="1"/>
  <c r="H71" i="1"/>
  <c r="G71" i="1"/>
  <c r="I130" i="2" l="1"/>
  <c r="J130" i="2"/>
  <c r="K130" i="2" s="1"/>
  <c r="G131" i="2"/>
  <c r="F132" i="2"/>
  <c r="E133" i="2" s="1"/>
  <c r="I70" i="1"/>
  <c r="L70" i="1"/>
  <c r="M70" i="1" s="1"/>
  <c r="J70" i="1"/>
  <c r="K70" i="1" s="1"/>
  <c r="I71" i="1"/>
  <c r="E73" i="1"/>
  <c r="F72" i="1"/>
  <c r="I131" i="2" l="1"/>
  <c r="J131" i="2"/>
  <c r="K131" i="2" s="1"/>
  <c r="G132" i="2"/>
  <c r="F133" i="2"/>
  <c r="E134" i="2" s="1"/>
  <c r="F73" i="1"/>
  <c r="L71" i="1"/>
  <c r="M71" i="1" s="1"/>
  <c r="J71" i="1"/>
  <c r="K71" i="1" s="1"/>
  <c r="H72" i="1"/>
  <c r="G72" i="1"/>
  <c r="E74" i="1"/>
  <c r="G73" i="1"/>
  <c r="H73" i="1"/>
  <c r="I132" i="2" l="1"/>
  <c r="J132" i="2"/>
  <c r="K132" i="2" s="1"/>
  <c r="G133" i="2"/>
  <c r="F134" i="2"/>
  <c r="E135" i="2" s="1"/>
  <c r="I72" i="1"/>
  <c r="L72" i="1"/>
  <c r="M72" i="1" s="1"/>
  <c r="J72" i="1"/>
  <c r="K72" i="1" s="1"/>
  <c r="I73" i="1"/>
  <c r="E75" i="1"/>
  <c r="F74" i="1"/>
  <c r="F75" i="1" s="1"/>
  <c r="I133" i="2" l="1"/>
  <c r="J133" i="2"/>
  <c r="K133" i="2" s="1"/>
  <c r="G134" i="2"/>
  <c r="F135" i="2"/>
  <c r="E136" i="2" s="1"/>
  <c r="J73" i="1"/>
  <c r="K73" i="1" s="1"/>
  <c r="L73" i="1"/>
  <c r="M73" i="1" s="1"/>
  <c r="G74" i="1"/>
  <c r="H74" i="1"/>
  <c r="E76" i="1"/>
  <c r="H75" i="1"/>
  <c r="G75" i="1"/>
  <c r="I134" i="2" l="1"/>
  <c r="J134" i="2"/>
  <c r="K134" i="2" s="1"/>
  <c r="G135" i="2"/>
  <c r="F136" i="2"/>
  <c r="E137" i="2" s="1"/>
  <c r="I75" i="1"/>
  <c r="I74" i="1"/>
  <c r="E77" i="1"/>
  <c r="F76" i="1"/>
  <c r="I135" i="2" l="1"/>
  <c r="J135" i="2"/>
  <c r="K135" i="2" s="1"/>
  <c r="G136" i="2"/>
  <c r="F137" i="2"/>
  <c r="E138" i="2" s="1"/>
  <c r="F77" i="1"/>
  <c r="L74" i="1"/>
  <c r="M74" i="1" s="1"/>
  <c r="J74" i="1"/>
  <c r="K74" i="1" s="1"/>
  <c r="L75" i="1"/>
  <c r="M75" i="1" s="1"/>
  <c r="J75" i="1"/>
  <c r="K75" i="1" s="1"/>
  <c r="H76" i="1"/>
  <c r="G76" i="1"/>
  <c r="E78" i="1"/>
  <c r="F78" i="1" s="1"/>
  <c r="H77" i="1"/>
  <c r="G77" i="1"/>
  <c r="I136" i="2" l="1"/>
  <c r="J136" i="2"/>
  <c r="K136" i="2" s="1"/>
  <c r="G137" i="2"/>
  <c r="F138" i="2"/>
  <c r="E139" i="2" s="1"/>
  <c r="I76" i="1"/>
  <c r="L76" i="1"/>
  <c r="M76" i="1" s="1"/>
  <c r="J76" i="1"/>
  <c r="K76" i="1" s="1"/>
  <c r="I77" i="1"/>
  <c r="E79" i="1"/>
  <c r="H78" i="1"/>
  <c r="G78" i="1"/>
  <c r="I137" i="2" l="1"/>
  <c r="J137" i="2"/>
  <c r="K137" i="2" s="1"/>
  <c r="G138" i="2"/>
  <c r="F139" i="2"/>
  <c r="E140" i="2" s="1"/>
  <c r="I78" i="1"/>
  <c r="L78" i="1"/>
  <c r="M78" i="1" s="1"/>
  <c r="J78" i="1"/>
  <c r="K78" i="1" s="1"/>
  <c r="L77" i="1"/>
  <c r="M77" i="1" s="1"/>
  <c r="J77" i="1"/>
  <c r="K77" i="1" s="1"/>
  <c r="E80" i="1"/>
  <c r="F79" i="1"/>
  <c r="I138" i="2" l="1"/>
  <c r="J138" i="2"/>
  <c r="K138" i="2" s="1"/>
  <c r="G139" i="2"/>
  <c r="F140" i="2"/>
  <c r="E141" i="2" s="1"/>
  <c r="F80" i="1"/>
  <c r="G79" i="1"/>
  <c r="H79" i="1"/>
  <c r="E81" i="1"/>
  <c r="F81" i="1" s="1"/>
  <c r="H80" i="1"/>
  <c r="G80" i="1"/>
  <c r="I139" i="2" l="1"/>
  <c r="J139" i="2"/>
  <c r="K139" i="2" s="1"/>
  <c r="G140" i="2"/>
  <c r="F141" i="2"/>
  <c r="E142" i="2" s="1"/>
  <c r="I80" i="1"/>
  <c r="L80" i="1"/>
  <c r="M80" i="1" s="1"/>
  <c r="J80" i="1"/>
  <c r="K80" i="1" s="1"/>
  <c r="E82" i="1"/>
  <c r="G81" i="1"/>
  <c r="H81" i="1"/>
  <c r="I79" i="1"/>
  <c r="I140" i="2" l="1"/>
  <c r="J140" i="2"/>
  <c r="K140" i="2" s="1"/>
  <c r="G141" i="2"/>
  <c r="F142" i="2"/>
  <c r="E143" i="2" s="1"/>
  <c r="L79" i="1"/>
  <c r="M79" i="1" s="1"/>
  <c r="J79" i="1"/>
  <c r="K79" i="1" s="1"/>
  <c r="E83" i="1"/>
  <c r="I81" i="1"/>
  <c r="F82" i="1"/>
  <c r="F83" i="1" s="1"/>
  <c r="I141" i="2" l="1"/>
  <c r="J141" i="2"/>
  <c r="K141" i="2" s="1"/>
  <c r="G142" i="2"/>
  <c r="F143" i="2"/>
  <c r="E144" i="2" s="1"/>
  <c r="J81" i="1"/>
  <c r="K81" i="1" s="1"/>
  <c r="L81" i="1"/>
  <c r="M81" i="1" s="1"/>
  <c r="H82" i="1"/>
  <c r="G82" i="1"/>
  <c r="E84" i="1"/>
  <c r="H83" i="1"/>
  <c r="G83" i="1"/>
  <c r="I142" i="2" l="1"/>
  <c r="J142" i="2"/>
  <c r="K142" i="2" s="1"/>
  <c r="G143" i="2"/>
  <c r="F144" i="2"/>
  <c r="E145" i="2" s="1"/>
  <c r="I82" i="1"/>
  <c r="I83" i="1"/>
  <c r="L83" i="1"/>
  <c r="M83" i="1" s="1"/>
  <c r="J83" i="1"/>
  <c r="K83" i="1" s="1"/>
  <c r="L82" i="1"/>
  <c r="M82" i="1" s="1"/>
  <c r="J82" i="1"/>
  <c r="K82" i="1" s="1"/>
  <c r="E85" i="1"/>
  <c r="F84" i="1"/>
  <c r="I143" i="2" l="1"/>
  <c r="J143" i="2"/>
  <c r="K143" i="2" s="1"/>
  <c r="G144" i="2"/>
  <c r="F145" i="2"/>
  <c r="E146" i="2" s="1"/>
  <c r="F85" i="1"/>
  <c r="G84" i="1"/>
  <c r="H84" i="1"/>
  <c r="E86" i="1"/>
  <c r="F86" i="1" s="1"/>
  <c r="G85" i="1"/>
  <c r="H85" i="1"/>
  <c r="I144" i="2" l="1"/>
  <c r="J144" i="2"/>
  <c r="K144" i="2" s="1"/>
  <c r="G145" i="2"/>
  <c r="F146" i="2"/>
  <c r="E147" i="2" s="1"/>
  <c r="I85" i="1"/>
  <c r="E87" i="1"/>
  <c r="H86" i="1"/>
  <c r="G86" i="1"/>
  <c r="I84" i="1"/>
  <c r="I145" i="2" l="1"/>
  <c r="J145" i="2"/>
  <c r="K145" i="2" s="1"/>
  <c r="G146" i="2"/>
  <c r="F147" i="2"/>
  <c r="E148" i="2" s="1"/>
  <c r="L84" i="1"/>
  <c r="M84" i="1" s="1"/>
  <c r="J84" i="1"/>
  <c r="K84" i="1" s="1"/>
  <c r="I86" i="1"/>
  <c r="L85" i="1"/>
  <c r="M85" i="1" s="1"/>
  <c r="J85" i="1"/>
  <c r="K85" i="1" s="1"/>
  <c r="E88" i="1"/>
  <c r="F87" i="1"/>
  <c r="I146" i="2" l="1"/>
  <c r="J146" i="2"/>
  <c r="K146" i="2" s="1"/>
  <c r="G147" i="2"/>
  <c r="F148" i="2"/>
  <c r="E149" i="2" s="1"/>
  <c r="F88" i="1"/>
  <c r="J86" i="1"/>
  <c r="K86" i="1" s="1"/>
  <c r="L86" i="1"/>
  <c r="M86" i="1" s="1"/>
  <c r="H87" i="1"/>
  <c r="G87" i="1"/>
  <c r="E89" i="1"/>
  <c r="H88" i="1"/>
  <c r="G88" i="1"/>
  <c r="I147" i="2" l="1"/>
  <c r="J147" i="2"/>
  <c r="K147" i="2" s="1"/>
  <c r="G148" i="2"/>
  <c r="F149" i="2"/>
  <c r="E150" i="2" s="1"/>
  <c r="I87" i="1"/>
  <c r="I88" i="1"/>
  <c r="J87" i="1"/>
  <c r="K87" i="1" s="1"/>
  <c r="L87" i="1"/>
  <c r="M87" i="1" s="1"/>
  <c r="E90" i="1"/>
  <c r="F89" i="1"/>
  <c r="F90" i="1" s="1"/>
  <c r="I148" i="2" l="1"/>
  <c r="J148" i="2"/>
  <c r="K148" i="2" s="1"/>
  <c r="G149" i="2"/>
  <c r="F150" i="2"/>
  <c r="E151" i="2" s="1"/>
  <c r="L88" i="1"/>
  <c r="M88" i="1" s="1"/>
  <c r="J88" i="1"/>
  <c r="K88" i="1" s="1"/>
  <c r="G89" i="1"/>
  <c r="H89" i="1"/>
  <c r="E91" i="1"/>
  <c r="F91" i="1" s="1"/>
  <c r="G90" i="1"/>
  <c r="H90" i="1"/>
  <c r="I149" i="2" l="1"/>
  <c r="J149" i="2"/>
  <c r="K149" i="2" s="1"/>
  <c r="G150" i="2"/>
  <c r="F151" i="2"/>
  <c r="E152" i="2" s="1"/>
  <c r="I90" i="1"/>
  <c r="E92" i="1"/>
  <c r="H91" i="1"/>
  <c r="G91" i="1"/>
  <c r="I89" i="1"/>
  <c r="I150" i="2" l="1"/>
  <c r="J150" i="2"/>
  <c r="K150" i="2" s="1"/>
  <c r="G151" i="2"/>
  <c r="F152" i="2"/>
  <c r="E153" i="2" s="1"/>
  <c r="L89" i="1"/>
  <c r="M89" i="1" s="1"/>
  <c r="J89" i="1"/>
  <c r="K89" i="1" s="1"/>
  <c r="I91" i="1"/>
  <c r="L90" i="1"/>
  <c r="M90" i="1" s="1"/>
  <c r="J90" i="1"/>
  <c r="K90" i="1" s="1"/>
  <c r="E93" i="1"/>
  <c r="F92" i="1"/>
  <c r="I151" i="2" l="1"/>
  <c r="J151" i="2"/>
  <c r="K151" i="2" s="1"/>
  <c r="G152" i="2"/>
  <c r="F153" i="2"/>
  <c r="E154" i="2" s="1"/>
  <c r="F93" i="1"/>
  <c r="L91" i="1"/>
  <c r="M91" i="1" s="1"/>
  <c r="J91" i="1"/>
  <c r="K91" i="1" s="1"/>
  <c r="H92" i="1"/>
  <c r="G92" i="1"/>
  <c r="E94" i="1"/>
  <c r="F94" i="1" s="1"/>
  <c r="H93" i="1"/>
  <c r="G93" i="1"/>
  <c r="I152" i="2" l="1"/>
  <c r="J152" i="2"/>
  <c r="K152" i="2" s="1"/>
  <c r="G153" i="2"/>
  <c r="F154" i="2"/>
  <c r="E155" i="2" s="1"/>
  <c r="I92" i="1"/>
  <c r="L92" i="1"/>
  <c r="M92" i="1" s="1"/>
  <c r="J92" i="1"/>
  <c r="K92" i="1" s="1"/>
  <c r="I93" i="1"/>
  <c r="E95" i="1"/>
  <c r="H94" i="1"/>
  <c r="G94" i="1"/>
  <c r="I153" i="2" l="1"/>
  <c r="J153" i="2"/>
  <c r="K153" i="2" s="1"/>
  <c r="G154" i="2"/>
  <c r="F155" i="2"/>
  <c r="E156" i="2" s="1"/>
  <c r="I94" i="1"/>
  <c r="L94" i="1"/>
  <c r="M94" i="1" s="1"/>
  <c r="J94" i="1"/>
  <c r="K94" i="1" s="1"/>
  <c r="L93" i="1"/>
  <c r="M93" i="1" s="1"/>
  <c r="J93" i="1"/>
  <c r="K93" i="1" s="1"/>
  <c r="E96" i="1"/>
  <c r="F95" i="1"/>
  <c r="I154" i="2" l="1"/>
  <c r="J154" i="2"/>
  <c r="K154" i="2" s="1"/>
  <c r="G155" i="2"/>
  <c r="F156" i="2"/>
  <c r="E157" i="2" s="1"/>
  <c r="F96" i="1"/>
  <c r="H95" i="1"/>
  <c r="G95" i="1"/>
  <c r="I95" i="1" s="1"/>
  <c r="E97" i="1"/>
  <c r="H96" i="1"/>
  <c r="G96" i="1"/>
  <c r="I155" i="2" l="1"/>
  <c r="J155" i="2"/>
  <c r="K155" i="2" s="1"/>
  <c r="G156" i="2"/>
  <c r="F157" i="2"/>
  <c r="E158" i="2" s="1"/>
  <c r="I96" i="1"/>
  <c r="L96" i="1"/>
  <c r="M96" i="1" s="1"/>
  <c r="J96" i="1"/>
  <c r="K96" i="1" s="1"/>
  <c r="L95" i="1"/>
  <c r="M95" i="1" s="1"/>
  <c r="J95" i="1"/>
  <c r="K95" i="1" s="1"/>
  <c r="E98" i="1"/>
  <c r="F97" i="1"/>
  <c r="I156" i="2" l="1"/>
  <c r="J156" i="2"/>
  <c r="K156" i="2" s="1"/>
  <c r="G157" i="2"/>
  <c r="F158" i="2"/>
  <c r="E159" i="2" s="1"/>
  <c r="F98" i="1"/>
  <c r="G97" i="1"/>
  <c r="H97" i="1"/>
  <c r="E99" i="1"/>
  <c r="G98" i="1"/>
  <c r="H98" i="1"/>
  <c r="I157" i="2" l="1"/>
  <c r="J157" i="2"/>
  <c r="K157" i="2" s="1"/>
  <c r="G158" i="2"/>
  <c r="F159" i="2"/>
  <c r="E160" i="2" s="1"/>
  <c r="I98" i="1"/>
  <c r="I97" i="1"/>
  <c r="E100" i="1"/>
  <c r="F99" i="1"/>
  <c r="I158" i="2" l="1"/>
  <c r="J158" i="2"/>
  <c r="K158" i="2" s="1"/>
  <c r="G159" i="2"/>
  <c r="F160" i="2"/>
  <c r="E161" i="2" s="1"/>
  <c r="F100" i="1"/>
  <c r="J97" i="1"/>
  <c r="K97" i="1" s="1"/>
  <c r="L97" i="1"/>
  <c r="M97" i="1" s="1"/>
  <c r="L98" i="1"/>
  <c r="M98" i="1" s="1"/>
  <c r="J98" i="1"/>
  <c r="K98" i="1" s="1"/>
  <c r="G99" i="1"/>
  <c r="E101" i="1"/>
  <c r="F101" i="1" s="1"/>
  <c r="H100" i="1"/>
  <c r="G100" i="1"/>
  <c r="H99" i="1"/>
  <c r="I159" i="2" l="1"/>
  <c r="J159" i="2"/>
  <c r="K159" i="2" s="1"/>
  <c r="G160" i="2"/>
  <c r="F161" i="2"/>
  <c r="E162" i="2" s="1"/>
  <c r="I100" i="1"/>
  <c r="L100" i="1" s="1"/>
  <c r="M100" i="1" s="1"/>
  <c r="J100" i="1"/>
  <c r="K100" i="1" s="1"/>
  <c r="E102" i="1"/>
  <c r="H101" i="1"/>
  <c r="G101" i="1"/>
  <c r="I99" i="1"/>
  <c r="I160" i="2" l="1"/>
  <c r="J160" i="2"/>
  <c r="K160" i="2" s="1"/>
  <c r="G161" i="2"/>
  <c r="F162" i="2"/>
  <c r="E163" i="2" s="1"/>
  <c r="I101" i="1"/>
  <c r="L101" i="1" s="1"/>
  <c r="M101" i="1" s="1"/>
  <c r="L99" i="1"/>
  <c r="M99" i="1" s="1"/>
  <c r="J99" i="1"/>
  <c r="K99" i="1" s="1"/>
  <c r="E103" i="1"/>
  <c r="F102" i="1"/>
  <c r="I161" i="2" l="1"/>
  <c r="J161" i="2"/>
  <c r="K161" i="2" s="1"/>
  <c r="G162" i="2"/>
  <c r="F163" i="2"/>
  <c r="E164" i="2" s="1"/>
  <c r="J101" i="1"/>
  <c r="K101" i="1" s="1"/>
  <c r="F103" i="1"/>
  <c r="H102" i="1"/>
  <c r="G102" i="1"/>
  <c r="E104" i="1"/>
  <c r="F104" i="1" s="1"/>
  <c r="H103" i="1"/>
  <c r="G103" i="1"/>
  <c r="I162" i="2" l="1"/>
  <c r="J162" i="2"/>
  <c r="K162" i="2" s="1"/>
  <c r="G163" i="2"/>
  <c r="F164" i="2"/>
  <c r="E165" i="2" s="1"/>
  <c r="I102" i="1"/>
  <c r="L102" i="1"/>
  <c r="M102" i="1" s="1"/>
  <c r="J102" i="1"/>
  <c r="K102" i="1" s="1"/>
  <c r="I103" i="1"/>
  <c r="E105" i="1"/>
  <c r="H104" i="1"/>
  <c r="G104" i="1"/>
  <c r="I163" i="2" l="1"/>
  <c r="J163" i="2"/>
  <c r="K163" i="2" s="1"/>
  <c r="G164" i="2"/>
  <c r="F165" i="2"/>
  <c r="E166" i="2" s="1"/>
  <c r="I104" i="1"/>
  <c r="L103" i="1"/>
  <c r="M103" i="1" s="1"/>
  <c r="J103" i="1"/>
  <c r="K103" i="1" s="1"/>
  <c r="E106" i="1"/>
  <c r="F105" i="1"/>
  <c r="F106" i="1" s="1"/>
  <c r="I164" i="2" l="1"/>
  <c r="J164" i="2"/>
  <c r="K164" i="2" s="1"/>
  <c r="G165" i="2"/>
  <c r="F166" i="2"/>
  <c r="E167" i="2" s="1"/>
  <c r="L104" i="1"/>
  <c r="M104" i="1" s="1"/>
  <c r="J104" i="1"/>
  <c r="K104" i="1" s="1"/>
  <c r="G105" i="1"/>
  <c r="H105" i="1"/>
  <c r="E107" i="1"/>
  <c r="G106" i="1"/>
  <c r="H106" i="1"/>
  <c r="I165" i="2" l="1"/>
  <c r="J165" i="2"/>
  <c r="K165" i="2" s="1"/>
  <c r="G166" i="2"/>
  <c r="F167" i="2"/>
  <c r="E168" i="2" s="1"/>
  <c r="I106" i="1"/>
  <c r="I105" i="1"/>
  <c r="E108" i="1"/>
  <c r="F107" i="1"/>
  <c r="F108" i="1" s="1"/>
  <c r="I166" i="2" l="1"/>
  <c r="J166" i="2"/>
  <c r="K166" i="2" s="1"/>
  <c r="G167" i="2"/>
  <c r="F168" i="2"/>
  <c r="E169" i="2" s="1"/>
  <c r="J105" i="1"/>
  <c r="K105" i="1" s="1"/>
  <c r="L105" i="1"/>
  <c r="M105" i="1" s="1"/>
  <c r="L106" i="1"/>
  <c r="M106" i="1" s="1"/>
  <c r="J106" i="1"/>
  <c r="K106" i="1" s="1"/>
  <c r="H107" i="1"/>
  <c r="G107" i="1"/>
  <c r="E109" i="1"/>
  <c r="H108" i="1"/>
  <c r="G108" i="1"/>
  <c r="I167" i="2" l="1"/>
  <c r="J167" i="2"/>
  <c r="K167" i="2" s="1"/>
  <c r="G168" i="2"/>
  <c r="F169" i="2"/>
  <c r="E170" i="2" s="1"/>
  <c r="I108" i="1"/>
  <c r="E110" i="1"/>
  <c r="I107" i="1"/>
  <c r="F109" i="1"/>
  <c r="F110" i="1" s="1"/>
  <c r="I168" i="2" l="1"/>
  <c r="J168" i="2"/>
  <c r="K168" i="2" s="1"/>
  <c r="G169" i="2"/>
  <c r="F170" i="2"/>
  <c r="E171" i="2" s="1"/>
  <c r="L107" i="1"/>
  <c r="M107" i="1" s="1"/>
  <c r="J107" i="1"/>
  <c r="K107" i="1" s="1"/>
  <c r="L108" i="1"/>
  <c r="M108" i="1" s="1"/>
  <c r="J108" i="1"/>
  <c r="K108" i="1" s="1"/>
  <c r="G109" i="1"/>
  <c r="H109" i="1"/>
  <c r="E111" i="1"/>
  <c r="F111" i="1" s="1"/>
  <c r="H110" i="1"/>
  <c r="G110" i="1"/>
  <c r="I169" i="2" l="1"/>
  <c r="J169" i="2"/>
  <c r="K169" i="2" s="1"/>
  <c r="G170" i="2"/>
  <c r="F171" i="2"/>
  <c r="E172" i="2" s="1"/>
  <c r="I110" i="1"/>
  <c r="E112" i="1"/>
  <c r="H111" i="1"/>
  <c r="G111" i="1"/>
  <c r="I109" i="1"/>
  <c r="I170" i="2" l="1"/>
  <c r="J170" i="2"/>
  <c r="K170" i="2" s="1"/>
  <c r="G171" i="2"/>
  <c r="F172" i="2"/>
  <c r="E173" i="2" s="1"/>
  <c r="I111" i="1"/>
  <c r="L111" i="1" s="1"/>
  <c r="M111" i="1" s="1"/>
  <c r="J111" i="1"/>
  <c r="K111" i="1" s="1"/>
  <c r="L109" i="1"/>
  <c r="M109" i="1" s="1"/>
  <c r="J109" i="1"/>
  <c r="K109" i="1" s="1"/>
  <c r="J110" i="1"/>
  <c r="K110" i="1" s="1"/>
  <c r="L110" i="1"/>
  <c r="M110" i="1" s="1"/>
  <c r="E113" i="1"/>
  <c r="F112" i="1"/>
  <c r="I171" i="2" l="1"/>
  <c r="J171" i="2"/>
  <c r="K171" i="2" s="1"/>
  <c r="G172" i="2"/>
  <c r="F173" i="2"/>
  <c r="E174" i="2" s="1"/>
  <c r="F113" i="1"/>
  <c r="H112" i="1"/>
  <c r="G112" i="1"/>
  <c r="E114" i="1"/>
  <c r="F114" i="1" s="1"/>
  <c r="G113" i="1"/>
  <c r="H113" i="1"/>
  <c r="I172" i="2" l="1"/>
  <c r="J172" i="2"/>
  <c r="K172" i="2" s="1"/>
  <c r="G173" i="2"/>
  <c r="F174" i="2"/>
  <c r="E175" i="2" s="1"/>
  <c r="I112" i="1"/>
  <c r="I113" i="1"/>
  <c r="E115" i="1"/>
  <c r="G114" i="1"/>
  <c r="H114" i="1"/>
  <c r="I173" i="2" l="1"/>
  <c r="J173" i="2"/>
  <c r="K173" i="2" s="1"/>
  <c r="G174" i="2"/>
  <c r="F175" i="2"/>
  <c r="E176" i="2" s="1"/>
  <c r="J113" i="1"/>
  <c r="K113" i="1" s="1"/>
  <c r="L113" i="1"/>
  <c r="M113" i="1" s="1"/>
  <c r="L112" i="1"/>
  <c r="M112" i="1" s="1"/>
  <c r="J112" i="1"/>
  <c r="K112" i="1" s="1"/>
  <c r="I114" i="1"/>
  <c r="E116" i="1"/>
  <c r="F115" i="1"/>
  <c r="I174" i="2" l="1"/>
  <c r="J174" i="2"/>
  <c r="K174" i="2" s="1"/>
  <c r="G175" i="2"/>
  <c r="F176" i="2"/>
  <c r="E177" i="2" s="1"/>
  <c r="F116" i="1"/>
  <c r="L114" i="1"/>
  <c r="M114" i="1" s="1"/>
  <c r="J114" i="1"/>
  <c r="K114" i="1" s="1"/>
  <c r="G115" i="1"/>
  <c r="H115" i="1"/>
  <c r="E117" i="1"/>
  <c r="H116" i="1"/>
  <c r="G116" i="1"/>
  <c r="I175" i="2" l="1"/>
  <c r="J175" i="2"/>
  <c r="K175" i="2" s="1"/>
  <c r="G176" i="2"/>
  <c r="F177" i="2"/>
  <c r="E178" i="2" s="1"/>
  <c r="I116" i="1"/>
  <c r="E118" i="1"/>
  <c r="F117" i="1"/>
  <c r="I115" i="1"/>
  <c r="I176" i="2" l="1"/>
  <c r="J176" i="2"/>
  <c r="K176" i="2" s="1"/>
  <c r="G177" i="2"/>
  <c r="F178" i="2"/>
  <c r="E179" i="2" s="1"/>
  <c r="F118" i="1"/>
  <c r="L115" i="1"/>
  <c r="M115" i="1" s="1"/>
  <c r="J115" i="1"/>
  <c r="K115" i="1" s="1"/>
  <c r="L116" i="1"/>
  <c r="M116" i="1" s="1"/>
  <c r="J116" i="1"/>
  <c r="K116" i="1" s="1"/>
  <c r="H117" i="1"/>
  <c r="G117" i="1"/>
  <c r="E119" i="1"/>
  <c r="F119" i="1" s="1"/>
  <c r="H118" i="1"/>
  <c r="G118" i="1"/>
  <c r="I177" i="2" l="1"/>
  <c r="J177" i="2"/>
  <c r="K177" i="2" s="1"/>
  <c r="G178" i="2"/>
  <c r="F179" i="2"/>
  <c r="E180" i="2" s="1"/>
  <c r="I117" i="1"/>
  <c r="L117" i="1"/>
  <c r="M117" i="1" s="1"/>
  <c r="J117" i="1"/>
  <c r="K117" i="1" s="1"/>
  <c r="I118" i="1"/>
  <c r="E120" i="1"/>
  <c r="H119" i="1"/>
  <c r="G119" i="1"/>
  <c r="I178" i="2" l="1"/>
  <c r="J178" i="2"/>
  <c r="K178" i="2" s="1"/>
  <c r="G179" i="2"/>
  <c r="F180" i="2"/>
  <c r="E181" i="2" s="1"/>
  <c r="I119" i="1"/>
  <c r="L118" i="1"/>
  <c r="M118" i="1" s="1"/>
  <c r="J118" i="1"/>
  <c r="K118" i="1" s="1"/>
  <c r="L119" i="1"/>
  <c r="M119" i="1" s="1"/>
  <c r="J119" i="1"/>
  <c r="K119" i="1" s="1"/>
  <c r="E121" i="1"/>
  <c r="F120" i="1"/>
  <c r="I179" i="2" l="1"/>
  <c r="J179" i="2"/>
  <c r="K179" i="2" s="1"/>
  <c r="G180" i="2"/>
  <c r="F181" i="2"/>
  <c r="E182" i="2" s="1"/>
  <c r="F121" i="1"/>
  <c r="G120" i="1"/>
  <c r="H120" i="1"/>
  <c r="E122" i="1"/>
  <c r="G121" i="1"/>
  <c r="H121" i="1"/>
  <c r="I180" i="2" l="1"/>
  <c r="J180" i="2"/>
  <c r="K180" i="2" s="1"/>
  <c r="G181" i="2"/>
  <c r="F182" i="2"/>
  <c r="E183" i="2" s="1"/>
  <c r="E123" i="1"/>
  <c r="F122" i="1"/>
  <c r="F123" i="1" s="1"/>
  <c r="I121" i="1"/>
  <c r="I120" i="1"/>
  <c r="I181" i="2" l="1"/>
  <c r="J181" i="2"/>
  <c r="K181" i="2" s="1"/>
  <c r="G182" i="2"/>
  <c r="F183" i="2"/>
  <c r="E184" i="2" s="1"/>
  <c r="J121" i="1"/>
  <c r="K121" i="1" s="1"/>
  <c r="L121" i="1"/>
  <c r="M121" i="1" s="1"/>
  <c r="L120" i="1"/>
  <c r="M120" i="1" s="1"/>
  <c r="J120" i="1"/>
  <c r="K120" i="1" s="1"/>
  <c r="G122" i="1"/>
  <c r="H122" i="1"/>
  <c r="E124" i="1"/>
  <c r="H123" i="1"/>
  <c r="G123" i="1"/>
  <c r="I182" i="2" l="1"/>
  <c r="J182" i="2"/>
  <c r="K182" i="2" s="1"/>
  <c r="G183" i="2"/>
  <c r="F184" i="2"/>
  <c r="E185" i="2" s="1"/>
  <c r="I122" i="1"/>
  <c r="I123" i="1"/>
  <c r="E125" i="1"/>
  <c r="F124" i="1"/>
  <c r="F125" i="1" s="1"/>
  <c r="I183" i="2" l="1"/>
  <c r="J183" i="2"/>
  <c r="K183" i="2" s="1"/>
  <c r="G184" i="2"/>
  <c r="F185" i="2"/>
  <c r="E186" i="2" s="1"/>
  <c r="L123" i="1"/>
  <c r="M123" i="1" s="1"/>
  <c r="J123" i="1"/>
  <c r="K123" i="1" s="1"/>
  <c r="L122" i="1"/>
  <c r="M122" i="1" s="1"/>
  <c r="J122" i="1"/>
  <c r="K122" i="1" s="1"/>
  <c r="G124" i="1"/>
  <c r="H124" i="1"/>
  <c r="E126" i="1"/>
  <c r="H125" i="1"/>
  <c r="G125" i="1"/>
  <c r="I184" i="2" l="1"/>
  <c r="J184" i="2"/>
  <c r="K184" i="2" s="1"/>
  <c r="G185" i="2"/>
  <c r="F186" i="2"/>
  <c r="E187" i="2" s="1"/>
  <c r="I125" i="1"/>
  <c r="E127" i="1"/>
  <c r="F126" i="1"/>
  <c r="F127" i="1" s="1"/>
  <c r="I124" i="1"/>
  <c r="I185" i="2" l="1"/>
  <c r="J185" i="2"/>
  <c r="K185" i="2" s="1"/>
  <c r="G186" i="2"/>
  <c r="F187" i="2"/>
  <c r="E188" i="2" s="1"/>
  <c r="L124" i="1"/>
  <c r="M124" i="1" s="1"/>
  <c r="J124" i="1"/>
  <c r="K124" i="1" s="1"/>
  <c r="L125" i="1"/>
  <c r="M125" i="1" s="1"/>
  <c r="J125" i="1"/>
  <c r="K125" i="1" s="1"/>
  <c r="H126" i="1"/>
  <c r="G126" i="1"/>
  <c r="E128" i="1"/>
  <c r="H127" i="1"/>
  <c r="G127" i="1"/>
  <c r="I186" i="2" l="1"/>
  <c r="J186" i="2"/>
  <c r="K186" i="2" s="1"/>
  <c r="G187" i="2"/>
  <c r="F188" i="2"/>
  <c r="E189" i="2" s="1"/>
  <c r="I126" i="1"/>
  <c r="L126" i="1" s="1"/>
  <c r="M126" i="1" s="1"/>
  <c r="J126" i="1"/>
  <c r="K126" i="1" s="1"/>
  <c r="I127" i="1"/>
  <c r="E129" i="1"/>
  <c r="F128" i="1"/>
  <c r="I187" i="2" l="1"/>
  <c r="J187" i="2"/>
  <c r="K187" i="2" s="1"/>
  <c r="G188" i="2"/>
  <c r="F189" i="2"/>
  <c r="E190" i="2" s="1"/>
  <c r="F129" i="1"/>
  <c r="L127" i="1"/>
  <c r="M127" i="1" s="1"/>
  <c r="J127" i="1"/>
  <c r="K127" i="1" s="1"/>
  <c r="H128" i="1"/>
  <c r="G128" i="1"/>
  <c r="I128" i="1" s="1"/>
  <c r="E130" i="1"/>
  <c r="F130" i="1" s="1"/>
  <c r="G129" i="1"/>
  <c r="H129" i="1"/>
  <c r="I188" i="2" l="1"/>
  <c r="J188" i="2"/>
  <c r="K188" i="2" s="1"/>
  <c r="G189" i="2"/>
  <c r="F190" i="2"/>
  <c r="E191" i="2" s="1"/>
  <c r="L128" i="1"/>
  <c r="M128" i="1" s="1"/>
  <c r="J128" i="1"/>
  <c r="K128" i="1" s="1"/>
  <c r="I129" i="1"/>
  <c r="E131" i="1"/>
  <c r="G130" i="1"/>
  <c r="H130" i="1"/>
  <c r="I189" i="2" l="1"/>
  <c r="J189" i="2"/>
  <c r="K189" i="2" s="1"/>
  <c r="G190" i="2"/>
  <c r="F191" i="2"/>
  <c r="E192" i="2" s="1"/>
  <c r="J129" i="1"/>
  <c r="K129" i="1" s="1"/>
  <c r="L129" i="1"/>
  <c r="M129" i="1" s="1"/>
  <c r="I130" i="1"/>
  <c r="E132" i="1"/>
  <c r="F131" i="1"/>
  <c r="I190" i="2" l="1"/>
  <c r="J190" i="2"/>
  <c r="K190" i="2" s="1"/>
  <c r="G191" i="2"/>
  <c r="F192" i="2"/>
  <c r="E193" i="2" s="1"/>
  <c r="F132" i="1"/>
  <c r="L130" i="1"/>
  <c r="M130" i="1" s="1"/>
  <c r="J130" i="1"/>
  <c r="K130" i="1" s="1"/>
  <c r="G131" i="1"/>
  <c r="H131" i="1"/>
  <c r="E133" i="1"/>
  <c r="H132" i="1"/>
  <c r="G132" i="1"/>
  <c r="I191" i="2" l="1"/>
  <c r="J191" i="2"/>
  <c r="K191" i="2" s="1"/>
  <c r="G192" i="2"/>
  <c r="F193" i="2"/>
  <c r="E194" i="2" s="1"/>
  <c r="I132" i="1"/>
  <c r="L132" i="1"/>
  <c r="M132" i="1" s="1"/>
  <c r="J132" i="1"/>
  <c r="K132" i="1" s="1"/>
  <c r="E134" i="1"/>
  <c r="F133" i="1"/>
  <c r="I131" i="1"/>
  <c r="I192" i="2" l="1"/>
  <c r="J192" i="2"/>
  <c r="K192" i="2" s="1"/>
  <c r="G193" i="2"/>
  <c r="F194" i="2"/>
  <c r="E195" i="2" s="1"/>
  <c r="F134" i="1"/>
  <c r="L131" i="1"/>
  <c r="M131" i="1" s="1"/>
  <c r="J131" i="1"/>
  <c r="K131" i="1" s="1"/>
  <c r="G133" i="1"/>
  <c r="H133" i="1"/>
  <c r="E135" i="1"/>
  <c r="H134" i="1"/>
  <c r="G134" i="1"/>
  <c r="I193" i="2" l="1"/>
  <c r="J193" i="2"/>
  <c r="K193" i="2" s="1"/>
  <c r="G194" i="2"/>
  <c r="F195" i="2"/>
  <c r="E196" i="2" s="1"/>
  <c r="I133" i="1"/>
  <c r="I134" i="1"/>
  <c r="E136" i="1"/>
  <c r="F135" i="1"/>
  <c r="F136" i="1" s="1"/>
  <c r="I194" i="2" l="1"/>
  <c r="J194" i="2"/>
  <c r="K194" i="2" s="1"/>
  <c r="G195" i="2"/>
  <c r="F196" i="2"/>
  <c r="E197" i="2" s="1"/>
  <c r="L134" i="1"/>
  <c r="M134" i="1" s="1"/>
  <c r="J134" i="1"/>
  <c r="K134" i="1" s="1"/>
  <c r="L133" i="1"/>
  <c r="M133" i="1" s="1"/>
  <c r="J133" i="1"/>
  <c r="K133" i="1" s="1"/>
  <c r="H135" i="1"/>
  <c r="G135" i="1"/>
  <c r="E137" i="1"/>
  <c r="H136" i="1"/>
  <c r="G136" i="1"/>
  <c r="I195" i="2" l="1"/>
  <c r="J195" i="2"/>
  <c r="K195" i="2" s="1"/>
  <c r="G196" i="2"/>
  <c r="F197" i="2"/>
  <c r="E198" i="2" s="1"/>
  <c r="I135" i="1"/>
  <c r="L135" i="1"/>
  <c r="M135" i="1" s="1"/>
  <c r="J135" i="1"/>
  <c r="K135" i="1" s="1"/>
  <c r="I136" i="1"/>
  <c r="E138" i="1"/>
  <c r="F137" i="1"/>
  <c r="I196" i="2" l="1"/>
  <c r="J196" i="2"/>
  <c r="K196" i="2" s="1"/>
  <c r="G197" i="2"/>
  <c r="F198" i="2"/>
  <c r="E199" i="2" s="1"/>
  <c r="F138" i="1"/>
  <c r="G138" i="1" s="1"/>
  <c r="L136" i="1"/>
  <c r="M136" i="1" s="1"/>
  <c r="J136" i="1"/>
  <c r="K136" i="1" s="1"/>
  <c r="H137" i="1"/>
  <c r="G137" i="1"/>
  <c r="E139" i="1"/>
  <c r="I197" i="2" l="1"/>
  <c r="J197" i="2"/>
  <c r="K197" i="2" s="1"/>
  <c r="G198" i="2"/>
  <c r="F199" i="2"/>
  <c r="E200" i="2" s="1"/>
  <c r="H138" i="1"/>
  <c r="F139" i="1"/>
  <c r="G139" i="1" s="1"/>
  <c r="I137" i="1"/>
  <c r="J137" i="1" s="1"/>
  <c r="K137" i="1" s="1"/>
  <c r="I138" i="1"/>
  <c r="E140" i="1"/>
  <c r="H139" i="1"/>
  <c r="I198" i="2" l="1"/>
  <c r="J198" i="2"/>
  <c r="K198" i="2" s="1"/>
  <c r="G199" i="2"/>
  <c r="F200" i="2"/>
  <c r="E201" i="2" s="1"/>
  <c r="L137" i="1"/>
  <c r="M137" i="1" s="1"/>
  <c r="I139" i="1"/>
  <c r="L139" i="1" s="1"/>
  <c r="M139" i="1" s="1"/>
  <c r="L138" i="1"/>
  <c r="M138" i="1" s="1"/>
  <c r="J138" i="1"/>
  <c r="K138" i="1" s="1"/>
  <c r="E141" i="1"/>
  <c r="F140" i="1"/>
  <c r="I199" i="2" l="1"/>
  <c r="J199" i="2"/>
  <c r="K199" i="2" s="1"/>
  <c r="G200" i="2"/>
  <c r="F201" i="2"/>
  <c r="E202" i="2" s="1"/>
  <c r="J139" i="1"/>
  <c r="K139" i="1" s="1"/>
  <c r="F141" i="1"/>
  <c r="G140" i="1"/>
  <c r="H140" i="1"/>
  <c r="E142" i="1"/>
  <c r="F142" i="1" s="1"/>
  <c r="H141" i="1"/>
  <c r="G141" i="1"/>
  <c r="I200" i="2" l="1"/>
  <c r="J200" i="2"/>
  <c r="K200" i="2" s="1"/>
  <c r="G201" i="2"/>
  <c r="F202" i="2"/>
  <c r="E203" i="2" s="1"/>
  <c r="I141" i="1"/>
  <c r="E143" i="1"/>
  <c r="H142" i="1"/>
  <c r="G142" i="1"/>
  <c r="I140" i="1"/>
  <c r="I201" i="2" l="1"/>
  <c r="J201" i="2"/>
  <c r="K201" i="2" s="1"/>
  <c r="G202" i="2"/>
  <c r="F203" i="2"/>
  <c r="E204" i="2" s="1"/>
  <c r="L140" i="1"/>
  <c r="M140" i="1" s="1"/>
  <c r="J140" i="1"/>
  <c r="K140" i="1" s="1"/>
  <c r="I142" i="1"/>
  <c r="L141" i="1"/>
  <c r="M141" i="1" s="1"/>
  <c r="J141" i="1"/>
  <c r="K141" i="1" s="1"/>
  <c r="E144" i="1"/>
  <c r="F143" i="1"/>
  <c r="I202" i="2" l="1"/>
  <c r="J202" i="2"/>
  <c r="K202" i="2" s="1"/>
  <c r="G203" i="2"/>
  <c r="F204" i="2"/>
  <c r="E205" i="2" s="1"/>
  <c r="F144" i="1"/>
  <c r="L142" i="1"/>
  <c r="M142" i="1" s="1"/>
  <c r="J142" i="1"/>
  <c r="K142" i="1" s="1"/>
  <c r="H143" i="1"/>
  <c r="G143" i="1"/>
  <c r="E145" i="1"/>
  <c r="F145" i="1" s="1"/>
  <c r="H144" i="1"/>
  <c r="G144" i="1"/>
  <c r="I203" i="2" l="1"/>
  <c r="J203" i="2"/>
  <c r="K203" i="2" s="1"/>
  <c r="G204" i="2"/>
  <c r="F205" i="2"/>
  <c r="E206" i="2" s="1"/>
  <c r="I143" i="1"/>
  <c r="L143" i="1"/>
  <c r="M143" i="1" s="1"/>
  <c r="J143" i="1"/>
  <c r="K143" i="1" s="1"/>
  <c r="I144" i="1"/>
  <c r="E146" i="1"/>
  <c r="H145" i="1"/>
  <c r="G145" i="1"/>
  <c r="I204" i="2" l="1"/>
  <c r="J204" i="2"/>
  <c r="K204" i="2" s="1"/>
  <c r="G205" i="2"/>
  <c r="F206" i="2"/>
  <c r="E207" i="2" s="1"/>
  <c r="I145" i="1"/>
  <c r="J145" i="1"/>
  <c r="K145" i="1" s="1"/>
  <c r="L145" i="1"/>
  <c r="M145" i="1" s="1"/>
  <c r="L144" i="1"/>
  <c r="M144" i="1" s="1"/>
  <c r="J144" i="1"/>
  <c r="K144" i="1" s="1"/>
  <c r="E147" i="1"/>
  <c r="F146" i="1"/>
  <c r="I205" i="2" l="1"/>
  <c r="J205" i="2"/>
  <c r="K205" i="2" s="1"/>
  <c r="G206" i="2"/>
  <c r="F207" i="2"/>
  <c r="E208" i="2" s="1"/>
  <c r="F147" i="1"/>
  <c r="H146" i="1"/>
  <c r="G146" i="1"/>
  <c r="E148" i="1"/>
  <c r="F148" i="1" s="1"/>
  <c r="H147" i="1"/>
  <c r="G147" i="1"/>
  <c r="I206" i="2" l="1"/>
  <c r="J206" i="2"/>
  <c r="K206" i="2" s="1"/>
  <c r="G207" i="2"/>
  <c r="F208" i="2"/>
  <c r="E209" i="2" s="1"/>
  <c r="I146" i="1"/>
  <c r="L146" i="1" s="1"/>
  <c r="M146" i="1" s="1"/>
  <c r="J146" i="1"/>
  <c r="K146" i="1" s="1"/>
  <c r="I147" i="1"/>
  <c r="E149" i="1"/>
  <c r="H148" i="1"/>
  <c r="G148" i="1"/>
  <c r="I207" i="2" l="1"/>
  <c r="J207" i="2"/>
  <c r="K207" i="2" s="1"/>
  <c r="G208" i="2"/>
  <c r="F209" i="2"/>
  <c r="E210" i="2" s="1"/>
  <c r="I148" i="1"/>
  <c r="L147" i="1"/>
  <c r="M147" i="1" s="1"/>
  <c r="J147" i="1"/>
  <c r="K147" i="1" s="1"/>
  <c r="E150" i="1"/>
  <c r="F149" i="1"/>
  <c r="I208" i="2" l="1"/>
  <c r="J208" i="2"/>
  <c r="K208" i="2" s="1"/>
  <c r="G209" i="2"/>
  <c r="F210" i="2"/>
  <c r="E211" i="2" s="1"/>
  <c r="F150" i="1"/>
  <c r="L148" i="1"/>
  <c r="M148" i="1" s="1"/>
  <c r="J148" i="1"/>
  <c r="K148" i="1" s="1"/>
  <c r="G149" i="1"/>
  <c r="H149" i="1"/>
  <c r="E151" i="1"/>
  <c r="H150" i="1"/>
  <c r="G150" i="1"/>
  <c r="I209" i="2" l="1"/>
  <c r="J209" i="2"/>
  <c r="K209" i="2" s="1"/>
  <c r="G210" i="2"/>
  <c r="F211" i="2"/>
  <c r="E212" i="2" s="1"/>
  <c r="I150" i="1"/>
  <c r="J150" i="1" s="1"/>
  <c r="K150" i="1" s="1"/>
  <c r="I149" i="1"/>
  <c r="E152" i="1"/>
  <c r="F151" i="1"/>
  <c r="F152" i="1" s="1"/>
  <c r="I210" i="2" l="1"/>
  <c r="J210" i="2"/>
  <c r="K210" i="2" s="1"/>
  <c r="G211" i="2"/>
  <c r="F212" i="2"/>
  <c r="E213" i="2" s="1"/>
  <c r="L150" i="1"/>
  <c r="M150" i="1" s="1"/>
  <c r="L149" i="1"/>
  <c r="M149" i="1" s="1"/>
  <c r="J149" i="1"/>
  <c r="K149" i="1" s="1"/>
  <c r="H151" i="1"/>
  <c r="G151" i="1"/>
  <c r="E153" i="1"/>
  <c r="F153" i="1" s="1"/>
  <c r="H152" i="1"/>
  <c r="G152" i="1"/>
  <c r="I211" i="2" l="1"/>
  <c r="J211" i="2"/>
  <c r="K211" i="2" s="1"/>
  <c r="G212" i="2"/>
  <c r="F213" i="2"/>
  <c r="E214" i="2" s="1"/>
  <c r="I151" i="1"/>
  <c r="I152" i="1"/>
  <c r="L152" i="1" s="1"/>
  <c r="M152" i="1" s="1"/>
  <c r="J152" i="1"/>
  <c r="K152" i="1" s="1"/>
  <c r="J151" i="1"/>
  <c r="K151" i="1" s="1"/>
  <c r="L151" i="1"/>
  <c r="M151" i="1" s="1"/>
  <c r="E154" i="1"/>
  <c r="H153" i="1"/>
  <c r="G153" i="1"/>
  <c r="I212" i="2" l="1"/>
  <c r="J212" i="2"/>
  <c r="K212" i="2" s="1"/>
  <c r="G213" i="2"/>
  <c r="F214" i="2"/>
  <c r="E215" i="2" s="1"/>
  <c r="I153" i="1"/>
  <c r="E155" i="1"/>
  <c r="F154" i="1"/>
  <c r="I213" i="2" l="1"/>
  <c r="J213" i="2"/>
  <c r="K213" i="2" s="1"/>
  <c r="G214" i="2"/>
  <c r="F215" i="2"/>
  <c r="E216" i="2" s="1"/>
  <c r="F155" i="1"/>
  <c r="L153" i="1"/>
  <c r="M153" i="1" s="1"/>
  <c r="J153" i="1"/>
  <c r="K153" i="1" s="1"/>
  <c r="H154" i="1"/>
  <c r="G154" i="1"/>
  <c r="E156" i="1"/>
  <c r="F156" i="1" s="1"/>
  <c r="H155" i="1"/>
  <c r="G155" i="1"/>
  <c r="I214" i="2" l="1"/>
  <c r="J214" i="2"/>
  <c r="K214" i="2" s="1"/>
  <c r="G215" i="2"/>
  <c r="F216" i="2"/>
  <c r="E217" i="2" s="1"/>
  <c r="I154" i="1"/>
  <c r="L154" i="1"/>
  <c r="M154" i="1" s="1"/>
  <c r="J154" i="1"/>
  <c r="K154" i="1" s="1"/>
  <c r="I155" i="1"/>
  <c r="E157" i="1"/>
  <c r="H156" i="1"/>
  <c r="G156" i="1"/>
  <c r="I215" i="2" l="1"/>
  <c r="J215" i="2"/>
  <c r="K215" i="2" s="1"/>
  <c r="G216" i="2"/>
  <c r="F217" i="2"/>
  <c r="E218" i="2" s="1"/>
  <c r="I156" i="1"/>
  <c r="L156" i="1"/>
  <c r="M156" i="1" s="1"/>
  <c r="J156" i="1"/>
  <c r="K156" i="1" s="1"/>
  <c r="L155" i="1"/>
  <c r="M155" i="1" s="1"/>
  <c r="J155" i="1"/>
  <c r="K155" i="1" s="1"/>
  <c r="E158" i="1"/>
  <c r="F157" i="1"/>
  <c r="I216" i="2" l="1"/>
  <c r="J216" i="2"/>
  <c r="K216" i="2" s="1"/>
  <c r="G217" i="2"/>
  <c r="F218" i="2"/>
  <c r="E219" i="2" s="1"/>
  <c r="F158" i="1"/>
  <c r="H157" i="1"/>
  <c r="G157" i="1"/>
  <c r="E159" i="1"/>
  <c r="F159" i="1" s="1"/>
  <c r="H158" i="1"/>
  <c r="G158" i="1"/>
  <c r="I217" i="2" l="1"/>
  <c r="J217" i="2"/>
  <c r="K217" i="2" s="1"/>
  <c r="G218" i="2"/>
  <c r="F219" i="2"/>
  <c r="E220" i="2" s="1"/>
  <c r="I157" i="1"/>
  <c r="L157" i="1"/>
  <c r="M157" i="1" s="1"/>
  <c r="J157" i="1"/>
  <c r="K157" i="1" s="1"/>
  <c r="I158" i="1"/>
  <c r="E160" i="1"/>
  <c r="H159" i="1"/>
  <c r="G159" i="1"/>
  <c r="I218" i="2" l="1"/>
  <c r="J218" i="2"/>
  <c r="K218" i="2" s="1"/>
  <c r="G219" i="2"/>
  <c r="F220" i="2"/>
  <c r="E221" i="2" s="1"/>
  <c r="I159" i="1"/>
  <c r="L159" i="1"/>
  <c r="M159" i="1" s="1"/>
  <c r="J159" i="1"/>
  <c r="K159" i="1" s="1"/>
  <c r="L158" i="1"/>
  <c r="M158" i="1" s="1"/>
  <c r="J158" i="1"/>
  <c r="K158" i="1" s="1"/>
  <c r="E161" i="1"/>
  <c r="F160" i="1"/>
  <c r="I219" i="2" l="1"/>
  <c r="J219" i="2"/>
  <c r="K219" i="2" s="1"/>
  <c r="G220" i="2"/>
  <c r="F221" i="2"/>
  <c r="E222" i="2" s="1"/>
  <c r="F161" i="1"/>
  <c r="H160" i="1"/>
  <c r="G160" i="1"/>
  <c r="E162" i="1"/>
  <c r="F162" i="1" s="1"/>
  <c r="H161" i="1"/>
  <c r="G161" i="1"/>
  <c r="I220" i="2" l="1"/>
  <c r="J220" i="2"/>
  <c r="K220" i="2" s="1"/>
  <c r="G221" i="2"/>
  <c r="F222" i="2"/>
  <c r="E223" i="2" s="1"/>
  <c r="I160" i="1"/>
  <c r="L160" i="1" s="1"/>
  <c r="M160" i="1" s="1"/>
  <c r="J160" i="1"/>
  <c r="K160" i="1" s="1"/>
  <c r="I161" i="1"/>
  <c r="E163" i="1"/>
  <c r="H162" i="1"/>
  <c r="G162" i="1"/>
  <c r="I221" i="2" l="1"/>
  <c r="J221" i="2"/>
  <c r="K221" i="2" s="1"/>
  <c r="G222" i="2"/>
  <c r="F223" i="2"/>
  <c r="E224" i="2" s="1"/>
  <c r="I162" i="1"/>
  <c r="L162" i="1"/>
  <c r="M162" i="1" s="1"/>
  <c r="J162" i="1"/>
  <c r="K162" i="1" s="1"/>
  <c r="J161" i="1"/>
  <c r="K161" i="1" s="1"/>
  <c r="L161" i="1"/>
  <c r="M161" i="1" s="1"/>
  <c r="E164" i="1"/>
  <c r="F163" i="1"/>
  <c r="I222" i="2" l="1"/>
  <c r="J222" i="2"/>
  <c r="K222" i="2" s="1"/>
  <c r="G223" i="2"/>
  <c r="F224" i="2"/>
  <c r="E225" i="2" s="1"/>
  <c r="F164" i="1"/>
  <c r="H163" i="1"/>
  <c r="G163" i="1"/>
  <c r="E165" i="1"/>
  <c r="F165" i="1" s="1"/>
  <c r="H164" i="1"/>
  <c r="G164" i="1"/>
  <c r="I223" i="2" l="1"/>
  <c r="J223" i="2"/>
  <c r="K223" i="2" s="1"/>
  <c r="G224" i="2"/>
  <c r="F225" i="2"/>
  <c r="E226" i="2" s="1"/>
  <c r="I163" i="1"/>
  <c r="L163" i="1"/>
  <c r="M163" i="1" s="1"/>
  <c r="J163" i="1"/>
  <c r="K163" i="1" s="1"/>
  <c r="I164" i="1"/>
  <c r="E166" i="1"/>
  <c r="G165" i="1"/>
  <c r="H165" i="1"/>
  <c r="I224" i="2" l="1"/>
  <c r="J224" i="2"/>
  <c r="K224" i="2" s="1"/>
  <c r="G225" i="2"/>
  <c r="F226" i="2"/>
  <c r="E227" i="2" s="1"/>
  <c r="L164" i="1"/>
  <c r="M164" i="1" s="1"/>
  <c r="J164" i="1"/>
  <c r="K164" i="1" s="1"/>
  <c r="I165" i="1"/>
  <c r="E167" i="1"/>
  <c r="F166" i="1"/>
  <c r="F167" i="1" s="1"/>
  <c r="I225" i="2" l="1"/>
  <c r="J225" i="2"/>
  <c r="K225" i="2" s="1"/>
  <c r="G226" i="2"/>
  <c r="F227" i="2"/>
  <c r="E228" i="2" s="1"/>
  <c r="L165" i="1"/>
  <c r="M165" i="1" s="1"/>
  <c r="J165" i="1"/>
  <c r="K165" i="1" s="1"/>
  <c r="H166" i="1"/>
  <c r="G166" i="1"/>
  <c r="E168" i="1"/>
  <c r="F168" i="1" s="1"/>
  <c r="H167" i="1"/>
  <c r="G167" i="1"/>
  <c r="I226" i="2" l="1"/>
  <c r="J226" i="2"/>
  <c r="K226" i="2" s="1"/>
  <c r="G227" i="2"/>
  <c r="F228" i="2"/>
  <c r="E229" i="2" s="1"/>
  <c r="I166" i="1"/>
  <c r="L166" i="1"/>
  <c r="M166" i="1" s="1"/>
  <c r="J166" i="1"/>
  <c r="K166" i="1" s="1"/>
  <c r="I167" i="1"/>
  <c r="E169" i="1"/>
  <c r="H168" i="1"/>
  <c r="G168" i="1"/>
  <c r="I227" i="2" l="1"/>
  <c r="J227" i="2"/>
  <c r="K227" i="2" s="1"/>
  <c r="G228" i="2"/>
  <c r="F229" i="2"/>
  <c r="E230" i="2" s="1"/>
  <c r="I168" i="1"/>
  <c r="L168" i="1"/>
  <c r="M168" i="1" s="1"/>
  <c r="J168" i="1"/>
  <c r="K168" i="1" s="1"/>
  <c r="L167" i="1"/>
  <c r="M167" i="1" s="1"/>
  <c r="J167" i="1"/>
  <c r="K167" i="1" s="1"/>
  <c r="E170" i="1"/>
  <c r="F169" i="1"/>
  <c r="I228" i="2" l="1"/>
  <c r="J228" i="2"/>
  <c r="K228" i="2" s="1"/>
  <c r="G229" i="2"/>
  <c r="F230" i="2"/>
  <c r="E231" i="2" s="1"/>
  <c r="F170" i="1"/>
  <c r="H169" i="1"/>
  <c r="G169" i="1"/>
  <c r="E171" i="1"/>
  <c r="F171" i="1" s="1"/>
  <c r="G170" i="1"/>
  <c r="H170" i="1"/>
  <c r="I229" i="2" l="1"/>
  <c r="J229" i="2"/>
  <c r="K229" i="2" s="1"/>
  <c r="G230" i="2"/>
  <c r="F231" i="2"/>
  <c r="E232" i="2" s="1"/>
  <c r="I169" i="1"/>
  <c r="J169" i="1"/>
  <c r="K169" i="1" s="1"/>
  <c r="L169" i="1"/>
  <c r="M169" i="1" s="1"/>
  <c r="I170" i="1"/>
  <c r="E172" i="1"/>
  <c r="H171" i="1"/>
  <c r="G171" i="1"/>
  <c r="I230" i="2" l="1"/>
  <c r="J230" i="2"/>
  <c r="K230" i="2" s="1"/>
  <c r="G231" i="2"/>
  <c r="F232" i="2"/>
  <c r="E233" i="2" s="1"/>
  <c r="I171" i="1"/>
  <c r="L171" i="1"/>
  <c r="M171" i="1" s="1"/>
  <c r="J171" i="1"/>
  <c r="K171" i="1" s="1"/>
  <c r="L170" i="1"/>
  <c r="M170" i="1" s="1"/>
  <c r="J170" i="1"/>
  <c r="K170" i="1" s="1"/>
  <c r="E173" i="1"/>
  <c r="F172" i="1"/>
  <c r="I231" i="2" l="1"/>
  <c r="J231" i="2"/>
  <c r="K231" i="2" s="1"/>
  <c r="G232" i="2"/>
  <c r="F233" i="2"/>
  <c r="E234" i="2" s="1"/>
  <c r="F173" i="1"/>
  <c r="H172" i="1"/>
  <c r="G172" i="1"/>
  <c r="E174" i="1"/>
  <c r="F174" i="1" s="1"/>
  <c r="G173" i="1"/>
  <c r="H173" i="1"/>
  <c r="I232" i="2" l="1"/>
  <c r="J232" i="2"/>
  <c r="K232" i="2" s="1"/>
  <c r="G233" i="2"/>
  <c r="F234" i="2"/>
  <c r="E235" i="2" s="1"/>
  <c r="I172" i="1"/>
  <c r="I173" i="1"/>
  <c r="L172" i="1"/>
  <c r="M172" i="1" s="1"/>
  <c r="J172" i="1"/>
  <c r="K172" i="1" s="1"/>
  <c r="E175" i="1"/>
  <c r="H174" i="1"/>
  <c r="G174" i="1"/>
  <c r="I233" i="2" l="1"/>
  <c r="J233" i="2"/>
  <c r="K233" i="2" s="1"/>
  <c r="G234" i="2"/>
  <c r="F235" i="2"/>
  <c r="E236" i="2" s="1"/>
  <c r="I174" i="1"/>
  <c r="J174" i="1"/>
  <c r="K174" i="1" s="1"/>
  <c r="L174" i="1"/>
  <c r="M174" i="1" s="1"/>
  <c r="L173" i="1"/>
  <c r="M173" i="1" s="1"/>
  <c r="J173" i="1"/>
  <c r="K173" i="1" s="1"/>
  <c r="E176" i="1"/>
  <c r="F175" i="1"/>
  <c r="I234" i="2" l="1"/>
  <c r="J234" i="2"/>
  <c r="K234" i="2" s="1"/>
  <c r="G235" i="2"/>
  <c r="F236" i="2"/>
  <c r="E237" i="2" s="1"/>
  <c r="F176" i="1"/>
  <c r="H175" i="1"/>
  <c r="G175" i="1"/>
  <c r="E177" i="1"/>
  <c r="F177" i="1" s="1"/>
  <c r="H176" i="1"/>
  <c r="G176" i="1"/>
  <c r="I235" i="2" l="1"/>
  <c r="J235" i="2"/>
  <c r="K235" i="2" s="1"/>
  <c r="G236" i="2"/>
  <c r="F237" i="2"/>
  <c r="E238" i="2" s="1"/>
  <c r="I175" i="1"/>
  <c r="L175" i="1"/>
  <c r="M175" i="1" s="1"/>
  <c r="J175" i="1"/>
  <c r="K175" i="1" s="1"/>
  <c r="I176" i="1"/>
  <c r="E178" i="1"/>
  <c r="G177" i="1"/>
  <c r="H177" i="1"/>
  <c r="I236" i="2" l="1"/>
  <c r="J236" i="2"/>
  <c r="K236" i="2" s="1"/>
  <c r="G237" i="2"/>
  <c r="F238" i="2"/>
  <c r="E239" i="2" s="1"/>
  <c r="L176" i="1"/>
  <c r="M176" i="1" s="1"/>
  <c r="J176" i="1"/>
  <c r="K176" i="1" s="1"/>
  <c r="I177" i="1"/>
  <c r="E179" i="1"/>
  <c r="F178" i="1"/>
  <c r="F179" i="1" s="1"/>
  <c r="I237" i="2" l="1"/>
  <c r="J237" i="2"/>
  <c r="K237" i="2" s="1"/>
  <c r="G238" i="2"/>
  <c r="F239" i="2"/>
  <c r="E240" i="2" s="1"/>
  <c r="L177" i="1"/>
  <c r="M177" i="1" s="1"/>
  <c r="J177" i="1"/>
  <c r="K177" i="1" s="1"/>
  <c r="H178" i="1"/>
  <c r="G178" i="1"/>
  <c r="E180" i="1"/>
  <c r="H179" i="1"/>
  <c r="G179" i="1"/>
  <c r="I238" i="2" l="1"/>
  <c r="J238" i="2"/>
  <c r="K238" i="2" s="1"/>
  <c r="G239" i="2"/>
  <c r="F240" i="2"/>
  <c r="E241" i="2" s="1"/>
  <c r="I178" i="1"/>
  <c r="I179" i="1"/>
  <c r="L179" i="1"/>
  <c r="M179" i="1" s="1"/>
  <c r="J179" i="1"/>
  <c r="K179" i="1" s="1"/>
  <c r="L178" i="1"/>
  <c r="M178" i="1" s="1"/>
  <c r="J178" i="1"/>
  <c r="K178" i="1" s="1"/>
  <c r="E181" i="1"/>
  <c r="F180" i="1"/>
  <c r="I239" i="2" l="1"/>
  <c r="J239" i="2"/>
  <c r="K239" i="2" s="1"/>
  <c r="G240" i="2"/>
  <c r="F241" i="2"/>
  <c r="E242" i="2" s="1"/>
  <c r="F181" i="1"/>
  <c r="H180" i="1"/>
  <c r="G180" i="1"/>
  <c r="E182" i="1"/>
  <c r="F182" i="1" s="1"/>
  <c r="H181" i="1"/>
  <c r="G181" i="1"/>
  <c r="I240" i="2" l="1"/>
  <c r="J240" i="2"/>
  <c r="K240" i="2" s="1"/>
  <c r="G241" i="2"/>
  <c r="F242" i="2"/>
  <c r="E243" i="2" s="1"/>
  <c r="I180" i="1"/>
  <c r="L180" i="1"/>
  <c r="M180" i="1" s="1"/>
  <c r="J180" i="1"/>
  <c r="K180" i="1" s="1"/>
  <c r="I181" i="1"/>
  <c r="E183" i="1"/>
  <c r="H182" i="1"/>
  <c r="G182" i="1"/>
  <c r="I241" i="2" l="1"/>
  <c r="J241" i="2"/>
  <c r="K241" i="2" s="1"/>
  <c r="G242" i="2"/>
  <c r="F243" i="2"/>
  <c r="E244" i="2" s="1"/>
  <c r="I182" i="1"/>
  <c r="L182" i="1" s="1"/>
  <c r="M182" i="1" s="1"/>
  <c r="J182" i="1"/>
  <c r="K182" i="1" s="1"/>
  <c r="L181" i="1"/>
  <c r="M181" i="1" s="1"/>
  <c r="J181" i="1"/>
  <c r="K181" i="1" s="1"/>
  <c r="E184" i="1"/>
  <c r="F183" i="1"/>
  <c r="I242" i="2" l="1"/>
  <c r="J242" i="2"/>
  <c r="K242" i="2" s="1"/>
  <c r="G243" i="2"/>
  <c r="F244" i="2"/>
  <c r="E245" i="2" s="1"/>
  <c r="F184" i="1"/>
  <c r="H183" i="1"/>
  <c r="G183" i="1"/>
  <c r="E185" i="1"/>
  <c r="F185" i="1" s="1"/>
  <c r="H184" i="1"/>
  <c r="G184" i="1"/>
  <c r="I243" i="2" l="1"/>
  <c r="J243" i="2"/>
  <c r="K243" i="2" s="1"/>
  <c r="G244" i="2"/>
  <c r="F245" i="2"/>
  <c r="E246" i="2" s="1"/>
  <c r="I183" i="1"/>
  <c r="L183" i="1"/>
  <c r="M183" i="1" s="1"/>
  <c r="J183" i="1"/>
  <c r="K183" i="1" s="1"/>
  <c r="I184" i="1"/>
  <c r="E186" i="1"/>
  <c r="H185" i="1"/>
  <c r="G185" i="1"/>
  <c r="I244" i="2" l="1"/>
  <c r="J244" i="2"/>
  <c r="K244" i="2" s="1"/>
  <c r="G245" i="2"/>
  <c r="F246" i="2"/>
  <c r="E247" i="2" s="1"/>
  <c r="I185" i="1"/>
  <c r="L185" i="1"/>
  <c r="M185" i="1" s="1"/>
  <c r="J185" i="1"/>
  <c r="K185" i="1" s="1"/>
  <c r="L184" i="1"/>
  <c r="M184" i="1" s="1"/>
  <c r="J184" i="1"/>
  <c r="K184" i="1" s="1"/>
  <c r="E187" i="1"/>
  <c r="F186" i="1"/>
  <c r="I245" i="2" l="1"/>
  <c r="J245" i="2"/>
  <c r="K245" i="2" s="1"/>
  <c r="G246" i="2"/>
  <c r="F247" i="2"/>
  <c r="E248" i="2" s="1"/>
  <c r="F187" i="1"/>
  <c r="G186" i="1"/>
  <c r="H186" i="1"/>
  <c r="E188" i="1"/>
  <c r="H187" i="1"/>
  <c r="G187" i="1"/>
  <c r="I246" i="2" l="1"/>
  <c r="J246" i="2"/>
  <c r="K246" i="2" s="1"/>
  <c r="G247" i="2"/>
  <c r="F248" i="2"/>
  <c r="E249" i="2" s="1"/>
  <c r="I187" i="1"/>
  <c r="L187" i="1" s="1"/>
  <c r="M187" i="1" s="1"/>
  <c r="J187" i="1"/>
  <c r="K187" i="1" s="1"/>
  <c r="I186" i="1"/>
  <c r="E189" i="1"/>
  <c r="F188" i="1"/>
  <c r="F189" i="1" s="1"/>
  <c r="I247" i="2" l="1"/>
  <c r="J247" i="2"/>
  <c r="K247" i="2" s="1"/>
  <c r="G248" i="2"/>
  <c r="F249" i="2"/>
  <c r="E250" i="2" s="1"/>
  <c r="L186" i="1"/>
  <c r="M186" i="1" s="1"/>
  <c r="J186" i="1"/>
  <c r="K186" i="1" s="1"/>
  <c r="H188" i="1"/>
  <c r="G188" i="1"/>
  <c r="E190" i="1"/>
  <c r="F190" i="1" s="1"/>
  <c r="G189" i="1"/>
  <c r="H189" i="1"/>
  <c r="I248" i="2" l="1"/>
  <c r="J248" i="2"/>
  <c r="K248" i="2" s="1"/>
  <c r="G249" i="2"/>
  <c r="F250" i="2"/>
  <c r="E251" i="2" s="1"/>
  <c r="I188" i="1"/>
  <c r="L188" i="1"/>
  <c r="M188" i="1" s="1"/>
  <c r="J188" i="1"/>
  <c r="K188" i="1" s="1"/>
  <c r="I189" i="1"/>
  <c r="E191" i="1"/>
  <c r="H190" i="1"/>
  <c r="G190" i="1"/>
  <c r="I249" i="2" l="1"/>
  <c r="J249" i="2"/>
  <c r="K249" i="2" s="1"/>
  <c r="G250" i="2"/>
  <c r="F251" i="2"/>
  <c r="E252" i="2" s="1"/>
  <c r="I190" i="1"/>
  <c r="L190" i="1"/>
  <c r="M190" i="1" s="1"/>
  <c r="J190" i="1"/>
  <c r="K190" i="1" s="1"/>
  <c r="L189" i="1"/>
  <c r="M189" i="1" s="1"/>
  <c r="J189" i="1"/>
  <c r="K189" i="1" s="1"/>
  <c r="E192" i="1"/>
  <c r="F191" i="1"/>
  <c r="I250" i="2" l="1"/>
  <c r="J250" i="2"/>
  <c r="K250" i="2" s="1"/>
  <c r="G251" i="2"/>
  <c r="F252" i="2"/>
  <c r="E253" i="2" s="1"/>
  <c r="F192" i="1"/>
  <c r="H191" i="1"/>
  <c r="G191" i="1"/>
  <c r="E193" i="1"/>
  <c r="F193" i="1" s="1"/>
  <c r="H192" i="1"/>
  <c r="G192" i="1"/>
  <c r="I251" i="2" l="1"/>
  <c r="J251" i="2"/>
  <c r="K251" i="2" s="1"/>
  <c r="G252" i="2"/>
  <c r="F253" i="2"/>
  <c r="E254" i="2" s="1"/>
  <c r="I191" i="1"/>
  <c r="L191" i="1"/>
  <c r="M191" i="1" s="1"/>
  <c r="J191" i="1"/>
  <c r="K191" i="1" s="1"/>
  <c r="I192" i="1"/>
  <c r="E194" i="1"/>
  <c r="G193" i="1"/>
  <c r="H193" i="1"/>
  <c r="I252" i="2" l="1"/>
  <c r="J252" i="2"/>
  <c r="K252" i="2" s="1"/>
  <c r="G253" i="2"/>
  <c r="F254" i="2"/>
  <c r="E255" i="2" s="1"/>
  <c r="L192" i="1"/>
  <c r="M192" i="1" s="1"/>
  <c r="J192" i="1"/>
  <c r="K192" i="1" s="1"/>
  <c r="I193" i="1"/>
  <c r="E195" i="1"/>
  <c r="F194" i="1"/>
  <c r="F195" i="1" s="1"/>
  <c r="I253" i="2" l="1"/>
  <c r="J253" i="2"/>
  <c r="K253" i="2" s="1"/>
  <c r="G254" i="2"/>
  <c r="F255" i="2"/>
  <c r="E256" i="2" s="1"/>
  <c r="L193" i="1"/>
  <c r="M193" i="1" s="1"/>
  <c r="J193" i="1"/>
  <c r="K193" i="1" s="1"/>
  <c r="H194" i="1"/>
  <c r="G194" i="1"/>
  <c r="E196" i="1"/>
  <c r="F196" i="1" s="1"/>
  <c r="H195" i="1"/>
  <c r="G195" i="1"/>
  <c r="I254" i="2" l="1"/>
  <c r="J254" i="2"/>
  <c r="K254" i="2" s="1"/>
  <c r="G255" i="2"/>
  <c r="F256" i="2"/>
  <c r="E257" i="2" s="1"/>
  <c r="I194" i="1"/>
  <c r="I195" i="1"/>
  <c r="L194" i="1"/>
  <c r="M194" i="1" s="1"/>
  <c r="J194" i="1"/>
  <c r="K194" i="1" s="1"/>
  <c r="E197" i="1"/>
  <c r="H196" i="1"/>
  <c r="G196" i="1"/>
  <c r="I255" i="2" l="1"/>
  <c r="J255" i="2"/>
  <c r="K255" i="2" s="1"/>
  <c r="G256" i="2"/>
  <c r="F257" i="2"/>
  <c r="E258" i="2" s="1"/>
  <c r="I196" i="1"/>
  <c r="L196" i="1"/>
  <c r="M196" i="1" s="1"/>
  <c r="J196" i="1"/>
  <c r="K196" i="1" s="1"/>
  <c r="L195" i="1"/>
  <c r="M195" i="1" s="1"/>
  <c r="J195" i="1"/>
  <c r="K195" i="1" s="1"/>
  <c r="E198" i="1"/>
  <c r="F197" i="1"/>
  <c r="I256" i="2" l="1"/>
  <c r="J256" i="2"/>
  <c r="K256" i="2" s="1"/>
  <c r="G257" i="2"/>
  <c r="F258" i="2"/>
  <c r="E259" i="2" s="1"/>
  <c r="F198" i="1"/>
  <c r="G197" i="1"/>
  <c r="H197" i="1"/>
  <c r="E199" i="1"/>
  <c r="H198" i="1"/>
  <c r="G198" i="1"/>
  <c r="I257" i="2" l="1"/>
  <c r="J257" i="2"/>
  <c r="K257" i="2" s="1"/>
  <c r="G258" i="2"/>
  <c r="F259" i="2"/>
  <c r="E260" i="2" s="1"/>
  <c r="I198" i="1"/>
  <c r="L198" i="1"/>
  <c r="M198" i="1" s="1"/>
  <c r="J198" i="1"/>
  <c r="K198" i="1" s="1"/>
  <c r="I197" i="1"/>
  <c r="E200" i="1"/>
  <c r="F199" i="1"/>
  <c r="F200" i="1" s="1"/>
  <c r="I258" i="2" l="1"/>
  <c r="J258" i="2"/>
  <c r="K258" i="2" s="1"/>
  <c r="G259" i="2"/>
  <c r="F260" i="2"/>
  <c r="E261" i="2" s="1"/>
  <c r="L197" i="1"/>
  <c r="M197" i="1" s="1"/>
  <c r="J197" i="1"/>
  <c r="K197" i="1" s="1"/>
  <c r="H199" i="1"/>
  <c r="G199" i="1"/>
  <c r="E201" i="1"/>
  <c r="H200" i="1"/>
  <c r="G200" i="1"/>
  <c r="I259" i="2" l="1"/>
  <c r="J259" i="2"/>
  <c r="K259" i="2" s="1"/>
  <c r="G260" i="2"/>
  <c r="F261" i="2"/>
  <c r="E262" i="2" s="1"/>
  <c r="I199" i="1"/>
  <c r="I200" i="1"/>
  <c r="L200" i="1"/>
  <c r="M200" i="1" s="1"/>
  <c r="J200" i="1"/>
  <c r="K200" i="1" s="1"/>
  <c r="L199" i="1"/>
  <c r="M199" i="1" s="1"/>
  <c r="J199" i="1"/>
  <c r="K199" i="1" s="1"/>
  <c r="E202" i="1"/>
  <c r="F201" i="1"/>
  <c r="I260" i="2" l="1"/>
  <c r="J260" i="2"/>
  <c r="K260" i="2" s="1"/>
  <c r="G261" i="2"/>
  <c r="F262" i="2"/>
  <c r="E263" i="2" s="1"/>
  <c r="F202" i="1"/>
  <c r="H201" i="1"/>
  <c r="G201" i="1"/>
  <c r="E203" i="1"/>
  <c r="F203" i="1" s="1"/>
  <c r="G202" i="1"/>
  <c r="H202" i="1"/>
  <c r="I261" i="2" l="1"/>
  <c r="J261" i="2"/>
  <c r="K261" i="2" s="1"/>
  <c r="G262" i="2"/>
  <c r="F263" i="2"/>
  <c r="E264" i="2" s="1"/>
  <c r="I201" i="1"/>
  <c r="L201" i="1"/>
  <c r="M201" i="1" s="1"/>
  <c r="J201" i="1"/>
  <c r="K201" i="1" s="1"/>
  <c r="I202" i="1"/>
  <c r="E204" i="1"/>
  <c r="H203" i="1"/>
  <c r="G203" i="1"/>
  <c r="I262" i="2" l="1"/>
  <c r="J262" i="2"/>
  <c r="K262" i="2" s="1"/>
  <c r="G263" i="2"/>
  <c r="F264" i="2"/>
  <c r="E265" i="2" s="1"/>
  <c r="I203" i="1"/>
  <c r="L203" i="1"/>
  <c r="M203" i="1" s="1"/>
  <c r="J203" i="1"/>
  <c r="K203" i="1" s="1"/>
  <c r="L202" i="1"/>
  <c r="M202" i="1" s="1"/>
  <c r="J202" i="1"/>
  <c r="K202" i="1" s="1"/>
  <c r="E205" i="1"/>
  <c r="F204" i="1"/>
  <c r="I263" i="2" l="1"/>
  <c r="J263" i="2"/>
  <c r="K263" i="2" s="1"/>
  <c r="G264" i="2"/>
  <c r="F265" i="2"/>
  <c r="E266" i="2" s="1"/>
  <c r="F205" i="1"/>
  <c r="H204" i="1"/>
  <c r="G204" i="1"/>
  <c r="E206" i="1"/>
  <c r="F206" i="1" s="1"/>
  <c r="H205" i="1"/>
  <c r="G205" i="1"/>
  <c r="I264" i="2" l="1"/>
  <c r="J264" i="2"/>
  <c r="K264" i="2" s="1"/>
  <c r="G265" i="2"/>
  <c r="F266" i="2"/>
  <c r="E267" i="2" s="1"/>
  <c r="I204" i="1"/>
  <c r="L204" i="1"/>
  <c r="M204" i="1" s="1"/>
  <c r="J204" i="1"/>
  <c r="K204" i="1" s="1"/>
  <c r="I205" i="1"/>
  <c r="E207" i="1"/>
  <c r="H206" i="1"/>
  <c r="G206" i="1"/>
  <c r="I265" i="2" l="1"/>
  <c r="J265" i="2"/>
  <c r="K265" i="2" s="1"/>
  <c r="G266" i="2"/>
  <c r="F267" i="2"/>
  <c r="E268" i="2" s="1"/>
  <c r="I206" i="1"/>
  <c r="L206" i="1"/>
  <c r="M206" i="1" s="1"/>
  <c r="J206" i="1"/>
  <c r="K206" i="1" s="1"/>
  <c r="L205" i="1"/>
  <c r="M205" i="1" s="1"/>
  <c r="J205" i="1"/>
  <c r="K205" i="1" s="1"/>
  <c r="E208" i="1"/>
  <c r="F207" i="1"/>
  <c r="I266" i="2" l="1"/>
  <c r="J266" i="2"/>
  <c r="K266" i="2" s="1"/>
  <c r="G267" i="2"/>
  <c r="F268" i="2"/>
  <c r="E269" i="2" s="1"/>
  <c r="F208" i="1"/>
  <c r="H207" i="1"/>
  <c r="G207" i="1"/>
  <c r="E209" i="1"/>
  <c r="F209" i="1" s="1"/>
  <c r="H208" i="1"/>
  <c r="G208" i="1"/>
  <c r="I208" i="1" s="1"/>
  <c r="I267" i="2" l="1"/>
  <c r="J267" i="2"/>
  <c r="K267" i="2" s="1"/>
  <c r="G268" i="2"/>
  <c r="F269" i="2"/>
  <c r="E270" i="2" s="1"/>
  <c r="I207" i="1"/>
  <c r="L207" i="1"/>
  <c r="M207" i="1" s="1"/>
  <c r="J207" i="1"/>
  <c r="K207" i="1" s="1"/>
  <c r="L208" i="1"/>
  <c r="M208" i="1" s="1"/>
  <c r="J208" i="1"/>
  <c r="K208" i="1" s="1"/>
  <c r="E210" i="1"/>
  <c r="H209" i="1"/>
  <c r="G209" i="1"/>
  <c r="I268" i="2" l="1"/>
  <c r="J268" i="2"/>
  <c r="K268" i="2" s="1"/>
  <c r="G269" i="2"/>
  <c r="F270" i="2"/>
  <c r="E271" i="2" s="1"/>
  <c r="I209" i="1"/>
  <c r="L209" i="1"/>
  <c r="M209" i="1" s="1"/>
  <c r="J209" i="1"/>
  <c r="K209" i="1" s="1"/>
  <c r="E211" i="1"/>
  <c r="F210" i="1"/>
  <c r="I269" i="2" l="1"/>
  <c r="J269" i="2"/>
  <c r="K269" i="2" s="1"/>
  <c r="G270" i="2"/>
  <c r="F271" i="2"/>
  <c r="E272" i="2" s="1"/>
  <c r="F211" i="1"/>
  <c r="H210" i="1"/>
  <c r="G210" i="1"/>
  <c r="E212" i="1"/>
  <c r="F212" i="1" s="1"/>
  <c r="H211" i="1"/>
  <c r="G211" i="1"/>
  <c r="I270" i="2" l="1"/>
  <c r="J270" i="2"/>
  <c r="K270" i="2" s="1"/>
  <c r="G271" i="2"/>
  <c r="F272" i="2"/>
  <c r="E273" i="2" s="1"/>
  <c r="I210" i="1"/>
  <c r="L210" i="1"/>
  <c r="M210" i="1" s="1"/>
  <c r="J210" i="1"/>
  <c r="K210" i="1" s="1"/>
  <c r="I211" i="1"/>
  <c r="E213" i="1"/>
  <c r="H212" i="1"/>
  <c r="G212" i="1"/>
  <c r="I271" i="2" l="1"/>
  <c r="J271" i="2"/>
  <c r="K271" i="2" s="1"/>
  <c r="G272" i="2"/>
  <c r="F273" i="2"/>
  <c r="E274" i="2" s="1"/>
  <c r="I212" i="1"/>
  <c r="L212" i="1"/>
  <c r="M212" i="1" s="1"/>
  <c r="J212" i="1"/>
  <c r="K212" i="1" s="1"/>
  <c r="L211" i="1"/>
  <c r="M211" i="1" s="1"/>
  <c r="J211" i="1"/>
  <c r="K211" i="1" s="1"/>
  <c r="E214" i="1"/>
  <c r="F213" i="1"/>
  <c r="I272" i="2" l="1"/>
  <c r="J272" i="2"/>
  <c r="K272" i="2" s="1"/>
  <c r="G273" i="2"/>
  <c r="F274" i="2"/>
  <c r="E275" i="2" s="1"/>
  <c r="F214" i="1"/>
  <c r="G213" i="1"/>
  <c r="H213" i="1"/>
  <c r="E215" i="1"/>
  <c r="H214" i="1"/>
  <c r="G214" i="1"/>
  <c r="I273" i="2" l="1"/>
  <c r="J273" i="2"/>
  <c r="K273" i="2" s="1"/>
  <c r="G274" i="2"/>
  <c r="F275" i="2"/>
  <c r="E276" i="2" s="1"/>
  <c r="I214" i="1"/>
  <c r="J214" i="1"/>
  <c r="K214" i="1" s="1"/>
  <c r="L214" i="1"/>
  <c r="M214" i="1" s="1"/>
  <c r="I213" i="1"/>
  <c r="E216" i="1"/>
  <c r="F215" i="1"/>
  <c r="I274" i="2" l="1"/>
  <c r="J274" i="2"/>
  <c r="K274" i="2" s="1"/>
  <c r="G275" i="2"/>
  <c r="F276" i="2"/>
  <c r="E277" i="2" s="1"/>
  <c r="F216" i="1"/>
  <c r="L213" i="1"/>
  <c r="M213" i="1" s="1"/>
  <c r="J213" i="1"/>
  <c r="K213" i="1" s="1"/>
  <c r="H215" i="1"/>
  <c r="G215" i="1"/>
  <c r="E217" i="1"/>
  <c r="F217" i="1" s="1"/>
  <c r="H216" i="1"/>
  <c r="G216" i="1"/>
  <c r="I275" i="2" l="1"/>
  <c r="J275" i="2"/>
  <c r="K275" i="2" s="1"/>
  <c r="G276" i="2"/>
  <c r="F277" i="2"/>
  <c r="E278" i="2" s="1"/>
  <c r="I215" i="1"/>
  <c r="J215" i="1"/>
  <c r="K215" i="1" s="1"/>
  <c r="L215" i="1"/>
  <c r="M215" i="1" s="1"/>
  <c r="I216" i="1"/>
  <c r="E218" i="1"/>
  <c r="H217" i="1"/>
  <c r="G217" i="1"/>
  <c r="I276" i="2" l="1"/>
  <c r="J276" i="2"/>
  <c r="K276" i="2" s="1"/>
  <c r="G277" i="2"/>
  <c r="F278" i="2"/>
  <c r="E279" i="2" s="1"/>
  <c r="I217" i="1"/>
  <c r="L217" i="1" s="1"/>
  <c r="M217" i="1" s="1"/>
  <c r="J217" i="1"/>
  <c r="K217" i="1" s="1"/>
  <c r="L216" i="1"/>
  <c r="M216" i="1" s="1"/>
  <c r="J216" i="1"/>
  <c r="K216" i="1" s="1"/>
  <c r="E219" i="1"/>
  <c r="F218" i="1"/>
  <c r="I277" i="2" l="1"/>
  <c r="J277" i="2"/>
  <c r="K277" i="2" s="1"/>
  <c r="G278" i="2"/>
  <c r="F279" i="2"/>
  <c r="E280" i="2" s="1"/>
  <c r="F219" i="1"/>
  <c r="G218" i="1"/>
  <c r="H218" i="1"/>
  <c r="E220" i="1"/>
  <c r="H219" i="1"/>
  <c r="G219" i="1"/>
  <c r="I278" i="2" l="1"/>
  <c r="J278" i="2"/>
  <c r="K278" i="2" s="1"/>
  <c r="G279" i="2"/>
  <c r="F280" i="2"/>
  <c r="E281" i="2" s="1"/>
  <c r="I219" i="1"/>
  <c r="L219" i="1"/>
  <c r="M219" i="1" s="1"/>
  <c r="J219" i="1"/>
  <c r="K219" i="1" s="1"/>
  <c r="E221" i="1"/>
  <c r="I218" i="1"/>
  <c r="F220" i="1"/>
  <c r="I279" i="2" l="1"/>
  <c r="J279" i="2"/>
  <c r="K279" i="2" s="1"/>
  <c r="G280" i="2"/>
  <c r="F281" i="2"/>
  <c r="E282" i="2" s="1"/>
  <c r="F221" i="1"/>
  <c r="L218" i="1"/>
  <c r="M218" i="1" s="1"/>
  <c r="J218" i="1"/>
  <c r="K218" i="1" s="1"/>
  <c r="H220" i="1"/>
  <c r="G220" i="1"/>
  <c r="E222" i="1"/>
  <c r="F222" i="1" s="1"/>
  <c r="H221" i="1"/>
  <c r="G221" i="1"/>
  <c r="I280" i="2" l="1"/>
  <c r="J280" i="2"/>
  <c r="K280" i="2" s="1"/>
  <c r="G281" i="2"/>
  <c r="F282" i="2"/>
  <c r="E283" i="2" s="1"/>
  <c r="I220" i="1"/>
  <c r="L220" i="1"/>
  <c r="M220" i="1" s="1"/>
  <c r="J220" i="1"/>
  <c r="K220" i="1" s="1"/>
  <c r="I221" i="1"/>
  <c r="E223" i="1"/>
  <c r="H222" i="1"/>
  <c r="G222" i="1"/>
  <c r="I281" i="2" l="1"/>
  <c r="J281" i="2"/>
  <c r="K281" i="2" s="1"/>
  <c r="F283" i="2"/>
  <c r="H285" i="2" s="1"/>
  <c r="G282" i="2"/>
  <c r="I222" i="1"/>
  <c r="L222" i="1"/>
  <c r="M222" i="1" s="1"/>
  <c r="J222" i="1"/>
  <c r="K222" i="1" s="1"/>
  <c r="L221" i="1"/>
  <c r="M221" i="1" s="1"/>
  <c r="J221" i="1"/>
  <c r="K221" i="1" s="1"/>
  <c r="E224" i="1"/>
  <c r="F223" i="1"/>
  <c r="G283" i="2" l="1"/>
  <c r="H288" i="2"/>
  <c r="H284" i="2"/>
  <c r="H286" i="2"/>
  <c r="H287" i="2"/>
  <c r="I282" i="2"/>
  <c r="J282" i="2"/>
  <c r="K282" i="2" s="1"/>
  <c r="I283" i="2"/>
  <c r="I2" i="2" s="1"/>
  <c r="I3" i="2" s="1"/>
  <c r="J283" i="2"/>
  <c r="F224" i="1"/>
  <c r="H223" i="1"/>
  <c r="G223" i="1"/>
  <c r="I223" i="1" s="1"/>
  <c r="E225" i="1"/>
  <c r="H224" i="1"/>
  <c r="G224" i="1"/>
  <c r="K283" i="2" l="1"/>
  <c r="L3" i="2" s="1"/>
  <c r="L2" i="2"/>
  <c r="I224" i="1"/>
  <c r="L224" i="1" s="1"/>
  <c r="M224" i="1" s="1"/>
  <c r="J224" i="1"/>
  <c r="K224" i="1" s="1"/>
  <c r="L223" i="1"/>
  <c r="M223" i="1" s="1"/>
  <c r="J223" i="1"/>
  <c r="K223" i="1" s="1"/>
  <c r="E226" i="1"/>
  <c r="F225" i="1"/>
  <c r="F226" i="1" l="1"/>
  <c r="H225" i="1"/>
  <c r="G225" i="1"/>
  <c r="E227" i="1"/>
  <c r="F227" i="1" s="1"/>
  <c r="H226" i="1"/>
  <c r="G226" i="1"/>
  <c r="I225" i="1" l="1"/>
  <c r="L225" i="1"/>
  <c r="M225" i="1" s="1"/>
  <c r="J225" i="1"/>
  <c r="K225" i="1" s="1"/>
  <c r="I226" i="1"/>
  <c r="E228" i="1"/>
  <c r="H227" i="1"/>
  <c r="G227" i="1"/>
  <c r="I227" i="1" l="1"/>
  <c r="L226" i="1"/>
  <c r="M226" i="1" s="1"/>
  <c r="J226" i="1"/>
  <c r="K226" i="1" s="1"/>
  <c r="E229" i="1"/>
  <c r="F228" i="1"/>
  <c r="F229" i="1" l="1"/>
  <c r="L227" i="1"/>
  <c r="M227" i="1" s="1"/>
  <c r="J227" i="1"/>
  <c r="K227" i="1" s="1"/>
  <c r="H228" i="1"/>
  <c r="G228" i="1"/>
  <c r="E230" i="1"/>
  <c r="F230" i="1" s="1"/>
  <c r="G229" i="1"/>
  <c r="H229" i="1"/>
  <c r="I228" i="1" l="1"/>
  <c r="L228" i="1"/>
  <c r="M228" i="1" s="1"/>
  <c r="J228" i="1"/>
  <c r="K228" i="1" s="1"/>
  <c r="I229" i="1"/>
  <c r="E231" i="1"/>
  <c r="H230" i="1"/>
  <c r="G230" i="1"/>
  <c r="I230" i="1" l="1"/>
  <c r="L230" i="1" s="1"/>
  <c r="M230" i="1" s="1"/>
  <c r="L229" i="1"/>
  <c r="M229" i="1" s="1"/>
  <c r="J229" i="1"/>
  <c r="K229" i="1" s="1"/>
  <c r="E232" i="1"/>
  <c r="F231" i="1"/>
  <c r="J230" i="1" l="1"/>
  <c r="K230" i="1" s="1"/>
  <c r="F232" i="1"/>
  <c r="H231" i="1"/>
  <c r="G231" i="1"/>
  <c r="E233" i="1"/>
  <c r="H232" i="1"/>
  <c r="G232" i="1"/>
  <c r="I231" i="1" l="1"/>
  <c r="I232" i="1"/>
  <c r="L232" i="1"/>
  <c r="M232" i="1" s="1"/>
  <c r="J232" i="1"/>
  <c r="K232" i="1" s="1"/>
  <c r="L231" i="1"/>
  <c r="M231" i="1" s="1"/>
  <c r="J231" i="1"/>
  <c r="K231" i="1" s="1"/>
  <c r="E234" i="1"/>
  <c r="F233" i="1"/>
  <c r="F234" i="1" l="1"/>
  <c r="H233" i="1"/>
  <c r="G233" i="1"/>
  <c r="E235" i="1"/>
  <c r="F235" i="1" s="1"/>
  <c r="G234" i="1"/>
  <c r="H234" i="1"/>
  <c r="I233" i="1" l="1"/>
  <c r="I234" i="1"/>
  <c r="E236" i="1"/>
  <c r="H235" i="1"/>
  <c r="G235" i="1"/>
  <c r="I235" i="1" l="1"/>
  <c r="L234" i="1"/>
  <c r="M234" i="1" s="1"/>
  <c r="J234" i="1"/>
  <c r="K234" i="1" s="1"/>
  <c r="L233" i="1"/>
  <c r="M233" i="1" s="1"/>
  <c r="J233" i="1"/>
  <c r="K233" i="1" s="1"/>
  <c r="E237" i="1"/>
  <c r="F236" i="1"/>
  <c r="F237" i="1" l="1"/>
  <c r="L235" i="1"/>
  <c r="M235" i="1" s="1"/>
  <c r="J235" i="1"/>
  <c r="K235" i="1" s="1"/>
  <c r="H236" i="1"/>
  <c r="G236" i="1"/>
  <c r="E238" i="1"/>
  <c r="F238" i="1" s="1"/>
  <c r="G237" i="1"/>
  <c r="H237" i="1"/>
  <c r="I236" i="1" l="1"/>
  <c r="L236" i="1"/>
  <c r="M236" i="1" s="1"/>
  <c r="J236" i="1"/>
  <c r="K236" i="1" s="1"/>
  <c r="I237" i="1"/>
  <c r="E239" i="1"/>
  <c r="H238" i="1"/>
  <c r="G238" i="1"/>
  <c r="I238" i="1" l="1"/>
  <c r="J238" i="1"/>
  <c r="K238" i="1" s="1"/>
  <c r="L238" i="1"/>
  <c r="M238" i="1" s="1"/>
  <c r="L237" i="1"/>
  <c r="M237" i="1" s="1"/>
  <c r="J237" i="1"/>
  <c r="K237" i="1" s="1"/>
  <c r="E240" i="1"/>
  <c r="F239" i="1"/>
  <c r="F240" i="1" l="1"/>
  <c r="H239" i="1"/>
  <c r="G239" i="1"/>
  <c r="E241" i="1"/>
  <c r="F241" i="1" s="1"/>
  <c r="H240" i="1"/>
  <c r="G240" i="1"/>
  <c r="I239" i="1" l="1"/>
  <c r="I240" i="1"/>
  <c r="L240" i="1" s="1"/>
  <c r="M240" i="1" s="1"/>
  <c r="J240" i="1"/>
  <c r="K240" i="1" s="1"/>
  <c r="L239" i="1"/>
  <c r="M239" i="1" s="1"/>
  <c r="J239" i="1"/>
  <c r="K239" i="1" s="1"/>
  <c r="E242" i="1"/>
  <c r="G241" i="1"/>
  <c r="H241" i="1"/>
  <c r="E243" i="1" l="1"/>
  <c r="I241" i="1"/>
  <c r="F242" i="1"/>
  <c r="F243" i="1" s="1"/>
  <c r="L241" i="1" l="1"/>
  <c r="M241" i="1" s="1"/>
  <c r="J241" i="1"/>
  <c r="K241" i="1" s="1"/>
  <c r="H242" i="1"/>
  <c r="G242" i="1"/>
  <c r="E244" i="1"/>
  <c r="F244" i="1" s="1"/>
  <c r="H243" i="1"/>
  <c r="G243" i="1"/>
  <c r="I242" i="1" l="1"/>
  <c r="I243" i="1"/>
  <c r="L243" i="1" s="1"/>
  <c r="M243" i="1" s="1"/>
  <c r="J243" i="1"/>
  <c r="K243" i="1" s="1"/>
  <c r="L242" i="1"/>
  <c r="M242" i="1" s="1"/>
  <c r="J242" i="1"/>
  <c r="K242" i="1" s="1"/>
  <c r="E245" i="1"/>
  <c r="H244" i="1"/>
  <c r="G244" i="1"/>
  <c r="I244" i="1" l="1"/>
  <c r="L244" i="1"/>
  <c r="M244" i="1" s="1"/>
  <c r="J244" i="1"/>
  <c r="K244" i="1" s="1"/>
  <c r="E246" i="1"/>
  <c r="F245" i="1"/>
  <c r="F246" i="1" s="1"/>
  <c r="H245" i="1" l="1"/>
  <c r="G245" i="1"/>
  <c r="I245" i="1" s="1"/>
  <c r="E247" i="1"/>
  <c r="F247" i="1" s="1"/>
  <c r="H246" i="1"/>
  <c r="G246" i="1"/>
  <c r="I246" i="1" l="1"/>
  <c r="L245" i="1"/>
  <c r="M245" i="1" s="1"/>
  <c r="J245" i="1"/>
  <c r="K245" i="1" s="1"/>
  <c r="E248" i="1"/>
  <c r="H247" i="1"/>
  <c r="G247" i="1"/>
  <c r="I247" i="1" l="1"/>
  <c r="L247" i="1"/>
  <c r="M247" i="1" s="1"/>
  <c r="J247" i="1"/>
  <c r="K247" i="1" s="1"/>
  <c r="L246" i="1"/>
  <c r="M246" i="1" s="1"/>
  <c r="J246" i="1"/>
  <c r="K246" i="1" s="1"/>
  <c r="E249" i="1"/>
  <c r="F248" i="1"/>
  <c r="F249" i="1" l="1"/>
  <c r="H248" i="1"/>
  <c r="G248" i="1"/>
  <c r="E250" i="1"/>
  <c r="F250" i="1" s="1"/>
  <c r="H249" i="1"/>
  <c r="G249" i="1"/>
  <c r="I249" i="1" s="1"/>
  <c r="I248" i="1" l="1"/>
  <c r="L248" i="1"/>
  <c r="M248" i="1" s="1"/>
  <c r="J248" i="1"/>
  <c r="K248" i="1" s="1"/>
  <c r="L249" i="1"/>
  <c r="M249" i="1" s="1"/>
  <c r="J249" i="1"/>
  <c r="K249" i="1" s="1"/>
  <c r="E251" i="1"/>
  <c r="G250" i="1"/>
  <c r="H250" i="1"/>
  <c r="E252" i="1" l="1"/>
  <c r="I250" i="1"/>
  <c r="F251" i="1"/>
  <c r="F252" i="1" s="1"/>
  <c r="L250" i="1" l="1"/>
  <c r="M250" i="1" s="1"/>
  <c r="J250" i="1"/>
  <c r="K250" i="1" s="1"/>
  <c r="H251" i="1"/>
  <c r="G251" i="1"/>
  <c r="E253" i="1"/>
  <c r="G252" i="1"/>
  <c r="H252" i="1"/>
  <c r="I251" i="1" l="1"/>
  <c r="L251" i="1"/>
  <c r="M251" i="1" s="1"/>
  <c r="J251" i="1"/>
  <c r="K251" i="1" s="1"/>
  <c r="I252" i="1"/>
  <c r="E254" i="1"/>
  <c r="F253" i="1"/>
  <c r="F254" i="1" s="1"/>
  <c r="L252" i="1" l="1"/>
  <c r="M252" i="1" s="1"/>
  <c r="J252" i="1"/>
  <c r="K252" i="1" s="1"/>
  <c r="G253" i="1"/>
  <c r="H253" i="1"/>
  <c r="E255" i="1"/>
  <c r="H254" i="1"/>
  <c r="G254" i="1"/>
  <c r="I254" i="1" l="1"/>
  <c r="L254" i="1"/>
  <c r="M254" i="1" s="1"/>
  <c r="J254" i="1"/>
  <c r="K254" i="1" s="1"/>
  <c r="I253" i="1"/>
  <c r="E256" i="1"/>
  <c r="F255" i="1"/>
  <c r="F256" i="1" l="1"/>
  <c r="L253" i="1"/>
  <c r="M253" i="1" s="1"/>
  <c r="J253" i="1"/>
  <c r="K253" i="1" s="1"/>
  <c r="G255" i="1"/>
  <c r="H255" i="1"/>
  <c r="E257" i="1"/>
  <c r="H256" i="1"/>
  <c r="G256" i="1"/>
  <c r="I256" i="1" l="1"/>
  <c r="L256" i="1"/>
  <c r="M256" i="1" s="1"/>
  <c r="J256" i="1"/>
  <c r="K256" i="1" s="1"/>
  <c r="I255" i="1"/>
  <c r="E258" i="1"/>
  <c r="F257" i="1"/>
  <c r="F258" i="1" l="1"/>
  <c r="L255" i="1"/>
  <c r="M255" i="1" s="1"/>
  <c r="J255" i="1"/>
  <c r="K255" i="1" s="1"/>
  <c r="H257" i="1"/>
  <c r="G257" i="1"/>
  <c r="E259" i="1"/>
  <c r="F259" i="1" s="1"/>
  <c r="H258" i="1"/>
  <c r="G258" i="1"/>
  <c r="I257" i="1" l="1"/>
  <c r="I258" i="1"/>
  <c r="L258" i="1" s="1"/>
  <c r="M258" i="1" s="1"/>
  <c r="J258" i="1"/>
  <c r="K258" i="1" s="1"/>
  <c r="L257" i="1"/>
  <c r="M257" i="1" s="1"/>
  <c r="J257" i="1"/>
  <c r="K257" i="1" s="1"/>
  <c r="E260" i="1"/>
  <c r="H259" i="1"/>
  <c r="G259" i="1"/>
  <c r="I259" i="1" l="1"/>
  <c r="E261" i="1"/>
  <c r="F260" i="1"/>
  <c r="F261" i="1" s="1"/>
  <c r="L259" i="1" l="1"/>
  <c r="M259" i="1" s="1"/>
  <c r="J259" i="1"/>
  <c r="K259" i="1" s="1"/>
  <c r="G260" i="1"/>
  <c r="H260" i="1"/>
  <c r="E262" i="1"/>
  <c r="G261" i="1"/>
  <c r="H261" i="1"/>
  <c r="E263" i="1" l="1"/>
  <c r="F262" i="1"/>
  <c r="F263" i="1" s="1"/>
  <c r="I261" i="1"/>
  <c r="I260" i="1"/>
  <c r="L261" i="1" l="1"/>
  <c r="M261" i="1" s="1"/>
  <c r="J261" i="1"/>
  <c r="K261" i="1" s="1"/>
  <c r="L260" i="1"/>
  <c r="M260" i="1" s="1"/>
  <c r="J260" i="1"/>
  <c r="K260" i="1" s="1"/>
  <c r="H262" i="1"/>
  <c r="G262" i="1"/>
  <c r="E264" i="1"/>
  <c r="H263" i="1"/>
  <c r="G263" i="1"/>
  <c r="I262" i="1" l="1"/>
  <c r="L262" i="1" s="1"/>
  <c r="M262" i="1" s="1"/>
  <c r="J262" i="1"/>
  <c r="K262" i="1" s="1"/>
  <c r="I263" i="1"/>
  <c r="E265" i="1"/>
  <c r="F264" i="1"/>
  <c r="F265" i="1" l="1"/>
  <c r="L263" i="1"/>
  <c r="M263" i="1" s="1"/>
  <c r="J263" i="1"/>
  <c r="K263" i="1" s="1"/>
  <c r="H264" i="1"/>
  <c r="G264" i="1"/>
  <c r="I264" i="1" s="1"/>
  <c r="E266" i="1"/>
  <c r="F266" i="1" s="1"/>
  <c r="G265" i="1"/>
  <c r="H265" i="1"/>
  <c r="L264" i="1" l="1"/>
  <c r="M264" i="1" s="1"/>
  <c r="J264" i="1"/>
  <c r="K264" i="1" s="1"/>
  <c r="I265" i="1"/>
  <c r="E267" i="1"/>
  <c r="G266" i="1"/>
  <c r="H266" i="1"/>
  <c r="L265" i="1" l="1"/>
  <c r="M265" i="1" s="1"/>
  <c r="J265" i="1"/>
  <c r="K265" i="1" s="1"/>
  <c r="I266" i="1"/>
  <c r="E268" i="1"/>
  <c r="F267" i="1"/>
  <c r="F268" i="1" l="1"/>
  <c r="L266" i="1"/>
  <c r="M266" i="1" s="1"/>
  <c r="J266" i="1"/>
  <c r="K266" i="1" s="1"/>
  <c r="G267" i="1"/>
  <c r="E269" i="1"/>
  <c r="G268" i="1"/>
  <c r="H268" i="1"/>
  <c r="H267" i="1"/>
  <c r="E270" i="1" l="1"/>
  <c r="I268" i="1"/>
  <c r="I267" i="1"/>
  <c r="F269" i="1"/>
  <c r="F270" i="1" s="1"/>
  <c r="L267" i="1" l="1"/>
  <c r="M267" i="1" s="1"/>
  <c r="J267" i="1"/>
  <c r="K267" i="1" s="1"/>
  <c r="L268" i="1"/>
  <c r="M268" i="1" s="1"/>
  <c r="J268" i="1"/>
  <c r="K268" i="1" s="1"/>
  <c r="G269" i="1"/>
  <c r="H269" i="1"/>
  <c r="E271" i="1"/>
  <c r="H270" i="1"/>
  <c r="G270" i="1"/>
  <c r="I270" i="1" l="1"/>
  <c r="E272" i="1"/>
  <c r="F271" i="1"/>
  <c r="I269" i="1"/>
  <c r="F272" i="1" l="1"/>
  <c r="L269" i="1"/>
  <c r="M269" i="1" s="1"/>
  <c r="J269" i="1"/>
  <c r="K269" i="1" s="1"/>
  <c r="L270" i="1"/>
  <c r="M270" i="1" s="1"/>
  <c r="J270" i="1"/>
  <c r="K270" i="1" s="1"/>
  <c r="H271" i="1"/>
  <c r="G271" i="1"/>
  <c r="E273" i="1"/>
  <c r="F273" i="1" s="1"/>
  <c r="H272" i="1"/>
  <c r="G272" i="1"/>
  <c r="I271" i="1" l="1"/>
  <c r="L271" i="1"/>
  <c r="M271" i="1" s="1"/>
  <c r="J271" i="1"/>
  <c r="K271" i="1" s="1"/>
  <c r="I272" i="1"/>
  <c r="E274" i="1"/>
  <c r="H273" i="1"/>
  <c r="G273" i="1"/>
  <c r="I273" i="1" l="1"/>
  <c r="L273" i="1"/>
  <c r="M273" i="1" s="1"/>
  <c r="J273" i="1"/>
  <c r="K273" i="1" s="1"/>
  <c r="L272" i="1"/>
  <c r="M272" i="1" s="1"/>
  <c r="J272" i="1"/>
  <c r="K272" i="1" s="1"/>
  <c r="E275" i="1"/>
  <c r="F274" i="1"/>
  <c r="F275" i="1" l="1"/>
  <c r="H274" i="1"/>
  <c r="G274" i="1"/>
  <c r="E276" i="1"/>
  <c r="H275" i="1"/>
  <c r="G275" i="1"/>
  <c r="I275" i="1" l="1"/>
  <c r="L275" i="1" s="1"/>
  <c r="M275" i="1" s="1"/>
  <c r="I274" i="1"/>
  <c r="J275" i="1"/>
  <c r="K275" i="1" s="1"/>
  <c r="L274" i="1"/>
  <c r="M274" i="1" s="1"/>
  <c r="J274" i="1"/>
  <c r="K274" i="1" s="1"/>
  <c r="E277" i="1"/>
  <c r="F276" i="1"/>
  <c r="F277" i="1" l="1"/>
  <c r="G276" i="1"/>
  <c r="H276" i="1"/>
  <c r="E278" i="1"/>
  <c r="G277" i="1"/>
  <c r="H277" i="1"/>
  <c r="I277" i="1" l="1"/>
  <c r="I276" i="1"/>
  <c r="E279" i="1"/>
  <c r="F278" i="1"/>
  <c r="F279" i="1" l="1"/>
  <c r="L276" i="1"/>
  <c r="M276" i="1" s="1"/>
  <c r="J276" i="1"/>
  <c r="K276" i="1" s="1"/>
  <c r="L277" i="1"/>
  <c r="M277" i="1" s="1"/>
  <c r="J277" i="1"/>
  <c r="K277" i="1" s="1"/>
  <c r="H278" i="1"/>
  <c r="G278" i="1"/>
  <c r="E280" i="1"/>
  <c r="H279" i="1"/>
  <c r="G279" i="1"/>
  <c r="I279" i="1" l="1"/>
  <c r="E281" i="1"/>
  <c r="I278" i="1"/>
  <c r="F280" i="1"/>
  <c r="F281" i="1" s="1"/>
  <c r="J278" i="1" l="1"/>
  <c r="K278" i="1" s="1"/>
  <c r="L278" i="1"/>
  <c r="M278" i="1" s="1"/>
  <c r="J279" i="1"/>
  <c r="K279" i="1" s="1"/>
  <c r="L279" i="1"/>
  <c r="M279" i="1" s="1"/>
  <c r="H280" i="1"/>
  <c r="G280" i="1"/>
  <c r="E282" i="1"/>
  <c r="G281" i="1"/>
  <c r="I281" i="1" s="1"/>
  <c r="H281" i="1"/>
  <c r="I280" i="1" l="1"/>
  <c r="L280" i="1" s="1"/>
  <c r="M280" i="1" s="1"/>
  <c r="L281" i="1"/>
  <c r="M281" i="1" s="1"/>
  <c r="J281" i="1"/>
  <c r="K281" i="1" s="1"/>
  <c r="E283" i="1"/>
  <c r="F282" i="1"/>
  <c r="J280" i="1" l="1"/>
  <c r="K280" i="1" s="1"/>
  <c r="F283" i="1"/>
  <c r="H282" i="1"/>
  <c r="G282" i="1"/>
  <c r="H283" i="1"/>
  <c r="G283" i="1"/>
  <c r="I283" i="1" l="1"/>
  <c r="N288" i="1"/>
  <c r="N284" i="1"/>
  <c r="N285" i="1"/>
  <c r="N286" i="1"/>
  <c r="N287" i="1"/>
  <c r="I282" i="1"/>
  <c r="J282" i="1" s="1"/>
  <c r="K282" i="1" s="1"/>
  <c r="L283" i="1"/>
  <c r="J283" i="1"/>
  <c r="K283" i="1" s="1"/>
  <c r="L282" i="1" l="1"/>
  <c r="M282" i="1" s="1"/>
  <c r="J2" i="1"/>
  <c r="J3" i="1" s="1"/>
  <c r="M283" i="1"/>
  <c r="M3" i="1" s="1"/>
  <c r="M2" i="1"/>
</calcChain>
</file>

<file path=xl/sharedStrings.xml><?xml version="1.0" encoding="utf-8"?>
<sst xmlns="http://schemas.openxmlformats.org/spreadsheetml/2006/main" count="34" uniqueCount="26">
  <si>
    <t>Date</t>
  </si>
  <si>
    <t>OilBrent</t>
  </si>
  <si>
    <t>S'</t>
  </si>
  <si>
    <t>S''</t>
  </si>
  <si>
    <t>at</t>
  </si>
  <si>
    <t>bt</t>
  </si>
  <si>
    <t>Y est</t>
  </si>
  <si>
    <t>ei</t>
  </si>
  <si>
    <t>ei2</t>
  </si>
  <si>
    <t>abs(Y - Yest)</t>
  </si>
  <si>
    <t>Abs(ei)/yi</t>
  </si>
  <si>
    <t>alpha</t>
  </si>
  <si>
    <t>ECM</t>
  </si>
  <si>
    <t>RECM</t>
  </si>
  <si>
    <t>EAM</t>
  </si>
  <si>
    <t>EAPM</t>
  </si>
  <si>
    <t>PRONÓSTICO</t>
  </si>
  <si>
    <t>beta</t>
  </si>
  <si>
    <r>
      <t>L</t>
    </r>
    <r>
      <rPr>
        <b/>
        <vertAlign val="subscript"/>
        <sz val="14"/>
        <rFont val="Arial"/>
        <family val="2"/>
      </rPr>
      <t>t</t>
    </r>
  </si>
  <si>
    <r>
      <t>T</t>
    </r>
    <r>
      <rPr>
        <b/>
        <vertAlign val="subscript"/>
        <sz val="14"/>
        <rFont val="Arial"/>
        <family val="2"/>
      </rPr>
      <t>t</t>
    </r>
  </si>
  <si>
    <r>
      <t>Y</t>
    </r>
    <r>
      <rPr>
        <vertAlign val="subscript"/>
        <sz val="14"/>
        <rFont val="Arial"/>
        <family val="2"/>
      </rPr>
      <t>t  est</t>
    </r>
  </si>
  <si>
    <t>Pronóstico</t>
  </si>
  <si>
    <t>ei²</t>
  </si>
  <si>
    <t>Abs(ei)</t>
  </si>
  <si>
    <t>Abs(ei)/Yt</t>
  </si>
  <si>
    <t>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</si>
</sst>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1"/>
      <color theme="3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4"/>
      <name val="Arial"/>
      <family val="2"/>
    </font>
    <font>
      <b/>
      <vertAlign val="subscript"/>
      <sz val="14"/>
      <name val="Arial"/>
      <family val="2"/>
    </font>
    <font>
      <sz val="14"/>
      <name val="Arial"/>
      <family val="2"/>
    </font>
    <font>
      <vertAlign val="subscript"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rgb="FFFFFF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6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10" fontId="0" fillId="0" borderId="0" xfId="1" applyNumberFormat="1" applyFont="1" applyAlignment="1"/>
    <xf numFmtId="0" fontId="5" fillId="4" borderId="1" xfId="0" applyFont="1" applyFill="1" applyBorder="1" applyAlignment="1">
      <alignment horizontal="center" vertical="center"/>
    </xf>
    <xf numFmtId="0" fontId="7" fillId="5" borderId="1" xfId="2" applyFont="1" applyFill="1" applyBorder="1" applyAlignment="1">
      <alignment horizontal="center"/>
    </xf>
    <xf numFmtId="0" fontId="9" fillId="5" borderId="1" xfId="2" applyFont="1" applyFill="1" applyBorder="1" applyAlignment="1">
      <alignment horizontal="center"/>
    </xf>
    <xf numFmtId="0" fontId="11" fillId="5" borderId="1" xfId="2" applyFont="1" applyFill="1" applyBorder="1" applyAlignment="1">
      <alignment horizontal="center"/>
    </xf>
    <xf numFmtId="0" fontId="12" fillId="5" borderId="1" xfId="2" applyFont="1" applyFill="1" applyBorder="1" applyAlignment="1">
      <alignment horizontal="center"/>
    </xf>
  </cellXfs>
  <cellStyles count="3">
    <cellStyle name="Normal" xfId="0" builtinId="0"/>
    <cellStyle name="Normal 2" xfId="2" xr:uid="{A54942FC-8CEC-49CF-87FB-8CDC40C6CC19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'OilBrent Brown'!$C$6</c:f>
              <c:strCache>
                <c:ptCount val="1"/>
                <c:pt idx="0">
                  <c:v>OilBrent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'OilBrent Brown'!$B$6:$B$288</c15:sqref>
                  </c15:fullRef>
                </c:ext>
              </c:extLst>
              <c:f>'OilBrent Brown'!$B$7:$B$288</c:f>
              <c:strCache>
                <c:ptCount val="282"/>
                <c:pt idx="0">
                  <c:v>2003-01-01</c:v>
                </c:pt>
                <c:pt idx="1">
                  <c:v>2003-02-01</c:v>
                </c:pt>
                <c:pt idx="2">
                  <c:v>2003-03-01</c:v>
                </c:pt>
                <c:pt idx="3">
                  <c:v>2003-04-01</c:v>
                </c:pt>
                <c:pt idx="4">
                  <c:v>2003-05-01</c:v>
                </c:pt>
                <c:pt idx="5">
                  <c:v>2003-06-01</c:v>
                </c:pt>
                <c:pt idx="6">
                  <c:v>2003-07-01</c:v>
                </c:pt>
                <c:pt idx="7">
                  <c:v>2003-08-01</c:v>
                </c:pt>
                <c:pt idx="8">
                  <c:v>2003-09-01</c:v>
                </c:pt>
                <c:pt idx="9">
                  <c:v>2003-10-01</c:v>
                </c:pt>
                <c:pt idx="10">
                  <c:v>2003-11-01</c:v>
                </c:pt>
                <c:pt idx="11">
                  <c:v>2003-12-01</c:v>
                </c:pt>
                <c:pt idx="12">
                  <c:v>2004-01-01</c:v>
                </c:pt>
                <c:pt idx="13">
                  <c:v>2004-02-01</c:v>
                </c:pt>
                <c:pt idx="14">
                  <c:v>2004-03-01</c:v>
                </c:pt>
                <c:pt idx="15">
                  <c:v>2004-04-01</c:v>
                </c:pt>
                <c:pt idx="16">
                  <c:v>2004-05-01</c:v>
                </c:pt>
                <c:pt idx="17">
                  <c:v>2004-06-01</c:v>
                </c:pt>
                <c:pt idx="18">
                  <c:v>2004-07-01</c:v>
                </c:pt>
                <c:pt idx="19">
                  <c:v>2004-08-01</c:v>
                </c:pt>
                <c:pt idx="20">
                  <c:v>2004-09-01</c:v>
                </c:pt>
                <c:pt idx="21">
                  <c:v>2004-10-01</c:v>
                </c:pt>
                <c:pt idx="22">
                  <c:v>2004-11-01</c:v>
                </c:pt>
                <c:pt idx="23">
                  <c:v>2004-12-01</c:v>
                </c:pt>
                <c:pt idx="24">
                  <c:v>2005-01-01</c:v>
                </c:pt>
                <c:pt idx="25">
                  <c:v>2005-02-01</c:v>
                </c:pt>
                <c:pt idx="26">
                  <c:v>2005-03-01</c:v>
                </c:pt>
                <c:pt idx="27">
                  <c:v>2005-04-01</c:v>
                </c:pt>
                <c:pt idx="28">
                  <c:v>2005-05-01</c:v>
                </c:pt>
                <c:pt idx="29">
                  <c:v>2005-06-01</c:v>
                </c:pt>
                <c:pt idx="30">
                  <c:v>2005-07-01</c:v>
                </c:pt>
                <c:pt idx="31">
                  <c:v>2005-08-01</c:v>
                </c:pt>
                <c:pt idx="32">
                  <c:v>2005-09-01</c:v>
                </c:pt>
                <c:pt idx="33">
                  <c:v>2005-10-01</c:v>
                </c:pt>
                <c:pt idx="34">
                  <c:v>2005-11-01</c:v>
                </c:pt>
                <c:pt idx="35">
                  <c:v>2005-12-01</c:v>
                </c:pt>
                <c:pt idx="36">
                  <c:v>2006-01-01</c:v>
                </c:pt>
                <c:pt idx="37">
                  <c:v>2006-02-01</c:v>
                </c:pt>
                <c:pt idx="38">
                  <c:v>2006-03-01</c:v>
                </c:pt>
                <c:pt idx="39">
                  <c:v>2006-04-01</c:v>
                </c:pt>
                <c:pt idx="40">
                  <c:v>2006-05-01</c:v>
                </c:pt>
                <c:pt idx="41">
                  <c:v>2006-06-01</c:v>
                </c:pt>
                <c:pt idx="42">
                  <c:v>2006-07-01</c:v>
                </c:pt>
                <c:pt idx="43">
                  <c:v>2006-08-01</c:v>
                </c:pt>
                <c:pt idx="44">
                  <c:v>2006-09-01</c:v>
                </c:pt>
                <c:pt idx="45">
                  <c:v>2006-10-01</c:v>
                </c:pt>
                <c:pt idx="46">
                  <c:v>2006-11-01</c:v>
                </c:pt>
                <c:pt idx="47">
                  <c:v>2006-12-01</c:v>
                </c:pt>
                <c:pt idx="48">
                  <c:v>2007-01-01</c:v>
                </c:pt>
                <c:pt idx="49">
                  <c:v>2007-02-01</c:v>
                </c:pt>
                <c:pt idx="50">
                  <c:v>2007-03-01</c:v>
                </c:pt>
                <c:pt idx="51">
                  <c:v>2007-04-01</c:v>
                </c:pt>
                <c:pt idx="52">
                  <c:v>2007-05-01</c:v>
                </c:pt>
                <c:pt idx="53">
                  <c:v>2007-06-01</c:v>
                </c:pt>
                <c:pt idx="54">
                  <c:v>2007-07-01</c:v>
                </c:pt>
                <c:pt idx="55">
                  <c:v>2007-08-01</c:v>
                </c:pt>
                <c:pt idx="56">
                  <c:v>2007-09-01</c:v>
                </c:pt>
                <c:pt idx="57">
                  <c:v>2007-10-01</c:v>
                </c:pt>
                <c:pt idx="58">
                  <c:v>2007-11-01</c:v>
                </c:pt>
                <c:pt idx="59">
                  <c:v>2007-12-01</c:v>
                </c:pt>
                <c:pt idx="60">
                  <c:v>2008-01-01</c:v>
                </c:pt>
                <c:pt idx="61">
                  <c:v>2008-02-01</c:v>
                </c:pt>
                <c:pt idx="62">
                  <c:v>2008-03-01</c:v>
                </c:pt>
                <c:pt idx="63">
                  <c:v>2008-04-01</c:v>
                </c:pt>
                <c:pt idx="64">
                  <c:v>2008-05-01</c:v>
                </c:pt>
                <c:pt idx="65">
                  <c:v>2008-06-01</c:v>
                </c:pt>
                <c:pt idx="66">
                  <c:v>2008-07-01</c:v>
                </c:pt>
                <c:pt idx="67">
                  <c:v>2008-08-01</c:v>
                </c:pt>
                <c:pt idx="68">
                  <c:v>2008-09-01</c:v>
                </c:pt>
                <c:pt idx="69">
                  <c:v>2008-10-01</c:v>
                </c:pt>
                <c:pt idx="70">
                  <c:v>2008-11-01</c:v>
                </c:pt>
                <c:pt idx="71">
                  <c:v>2008-12-01</c:v>
                </c:pt>
                <c:pt idx="72">
                  <c:v>2009-01-01</c:v>
                </c:pt>
                <c:pt idx="73">
                  <c:v>2009-02-01</c:v>
                </c:pt>
                <c:pt idx="74">
                  <c:v>2009-03-01</c:v>
                </c:pt>
                <c:pt idx="75">
                  <c:v>2009-04-01</c:v>
                </c:pt>
                <c:pt idx="76">
                  <c:v>2009-05-01</c:v>
                </c:pt>
                <c:pt idx="77">
                  <c:v>2009-06-01</c:v>
                </c:pt>
                <c:pt idx="78">
                  <c:v>2009-07-01</c:v>
                </c:pt>
                <c:pt idx="79">
                  <c:v>2009-08-01</c:v>
                </c:pt>
                <c:pt idx="80">
                  <c:v>2009-09-01</c:v>
                </c:pt>
                <c:pt idx="81">
                  <c:v>2009-10-01</c:v>
                </c:pt>
                <c:pt idx="82">
                  <c:v>2009-11-01</c:v>
                </c:pt>
                <c:pt idx="83">
                  <c:v>2009-12-01</c:v>
                </c:pt>
                <c:pt idx="84">
                  <c:v>2010-01-01</c:v>
                </c:pt>
                <c:pt idx="85">
                  <c:v>2010-02-01</c:v>
                </c:pt>
                <c:pt idx="86">
                  <c:v>2010-03-01</c:v>
                </c:pt>
                <c:pt idx="87">
                  <c:v>2010-04-01</c:v>
                </c:pt>
                <c:pt idx="88">
                  <c:v>2010-05-01</c:v>
                </c:pt>
                <c:pt idx="89">
                  <c:v>2010-06-01</c:v>
                </c:pt>
                <c:pt idx="90">
                  <c:v>2010-07-01</c:v>
                </c:pt>
                <c:pt idx="91">
                  <c:v>2010-08-01</c:v>
                </c:pt>
                <c:pt idx="92">
                  <c:v>2010-09-01</c:v>
                </c:pt>
                <c:pt idx="93">
                  <c:v>2010-10-01</c:v>
                </c:pt>
                <c:pt idx="94">
                  <c:v>2010-11-01</c:v>
                </c:pt>
                <c:pt idx="95">
                  <c:v>2010-12-01</c:v>
                </c:pt>
                <c:pt idx="96">
                  <c:v>2011-01-01</c:v>
                </c:pt>
                <c:pt idx="97">
                  <c:v>2011-02-01</c:v>
                </c:pt>
                <c:pt idx="98">
                  <c:v>2011-03-01</c:v>
                </c:pt>
                <c:pt idx="99">
                  <c:v>2011-04-01</c:v>
                </c:pt>
                <c:pt idx="100">
                  <c:v>2011-05-01</c:v>
                </c:pt>
                <c:pt idx="101">
                  <c:v>2011-06-01</c:v>
                </c:pt>
                <c:pt idx="102">
                  <c:v>2011-07-01</c:v>
                </c:pt>
                <c:pt idx="103">
                  <c:v>2011-08-01</c:v>
                </c:pt>
                <c:pt idx="104">
                  <c:v>2011-09-01</c:v>
                </c:pt>
                <c:pt idx="105">
                  <c:v>2011-10-01</c:v>
                </c:pt>
                <c:pt idx="106">
                  <c:v>2011-11-01</c:v>
                </c:pt>
                <c:pt idx="107">
                  <c:v>2011-12-01</c:v>
                </c:pt>
                <c:pt idx="108">
                  <c:v>2012-01-01</c:v>
                </c:pt>
                <c:pt idx="109">
                  <c:v>2012-02-01</c:v>
                </c:pt>
                <c:pt idx="110">
                  <c:v>2012-03-01</c:v>
                </c:pt>
                <c:pt idx="111">
                  <c:v>2012-04-01</c:v>
                </c:pt>
                <c:pt idx="112">
                  <c:v>2012-05-01</c:v>
                </c:pt>
                <c:pt idx="113">
                  <c:v>2012-06-01</c:v>
                </c:pt>
                <c:pt idx="114">
                  <c:v>2012-07-01</c:v>
                </c:pt>
                <c:pt idx="115">
                  <c:v>2012-08-01</c:v>
                </c:pt>
                <c:pt idx="116">
                  <c:v>2012-09-01</c:v>
                </c:pt>
                <c:pt idx="117">
                  <c:v>2012-10-01</c:v>
                </c:pt>
                <c:pt idx="118">
                  <c:v>2012-11-01</c:v>
                </c:pt>
                <c:pt idx="119">
                  <c:v>2012-12-01</c:v>
                </c:pt>
                <c:pt idx="120">
                  <c:v>2013-01-01</c:v>
                </c:pt>
                <c:pt idx="121">
                  <c:v>2013-02-01</c:v>
                </c:pt>
                <c:pt idx="122">
                  <c:v>2013-03-01</c:v>
                </c:pt>
                <c:pt idx="123">
                  <c:v>2013-04-01</c:v>
                </c:pt>
                <c:pt idx="124">
                  <c:v>2013-05-01</c:v>
                </c:pt>
                <c:pt idx="125">
                  <c:v>2013-06-01</c:v>
                </c:pt>
                <c:pt idx="126">
                  <c:v>2013-07-01</c:v>
                </c:pt>
                <c:pt idx="127">
                  <c:v>2013-08-01</c:v>
                </c:pt>
                <c:pt idx="128">
                  <c:v>2013-09-01</c:v>
                </c:pt>
                <c:pt idx="129">
                  <c:v>2013-10-01</c:v>
                </c:pt>
                <c:pt idx="130">
                  <c:v>2013-11-01</c:v>
                </c:pt>
                <c:pt idx="131">
                  <c:v>2013-12-01</c:v>
                </c:pt>
                <c:pt idx="132">
                  <c:v>2014-01-01</c:v>
                </c:pt>
                <c:pt idx="133">
                  <c:v>2014-02-01</c:v>
                </c:pt>
                <c:pt idx="134">
                  <c:v>2014-03-01</c:v>
                </c:pt>
                <c:pt idx="135">
                  <c:v>2014-04-01</c:v>
                </c:pt>
                <c:pt idx="136">
                  <c:v>2014-05-01</c:v>
                </c:pt>
                <c:pt idx="137">
                  <c:v>2014-06-01</c:v>
                </c:pt>
                <c:pt idx="138">
                  <c:v>2014-07-01</c:v>
                </c:pt>
                <c:pt idx="139">
                  <c:v>2014-08-01</c:v>
                </c:pt>
                <c:pt idx="140">
                  <c:v>2014-09-01</c:v>
                </c:pt>
                <c:pt idx="141">
                  <c:v>2014-10-01</c:v>
                </c:pt>
                <c:pt idx="142">
                  <c:v>2014-11-01</c:v>
                </c:pt>
                <c:pt idx="143">
                  <c:v>2014-12-01</c:v>
                </c:pt>
                <c:pt idx="144">
                  <c:v>2015-01-01</c:v>
                </c:pt>
                <c:pt idx="145">
                  <c:v>2015-02-01</c:v>
                </c:pt>
                <c:pt idx="146">
                  <c:v>2015-03-01</c:v>
                </c:pt>
                <c:pt idx="147">
                  <c:v>2015-04-01</c:v>
                </c:pt>
                <c:pt idx="148">
                  <c:v>2015-05-01</c:v>
                </c:pt>
                <c:pt idx="149">
                  <c:v>2015-06-01</c:v>
                </c:pt>
                <c:pt idx="150">
                  <c:v>2015-07-01</c:v>
                </c:pt>
                <c:pt idx="151">
                  <c:v>2015-08-01</c:v>
                </c:pt>
                <c:pt idx="152">
                  <c:v>2015-09-01</c:v>
                </c:pt>
                <c:pt idx="153">
                  <c:v>2015-10-01</c:v>
                </c:pt>
                <c:pt idx="154">
                  <c:v>2015-11-01</c:v>
                </c:pt>
                <c:pt idx="155">
                  <c:v>2015-12-01</c:v>
                </c:pt>
                <c:pt idx="156">
                  <c:v>2016-01-01</c:v>
                </c:pt>
                <c:pt idx="157">
                  <c:v>2016-02-01</c:v>
                </c:pt>
                <c:pt idx="158">
                  <c:v>2016-03-01</c:v>
                </c:pt>
                <c:pt idx="159">
                  <c:v>2016-04-01</c:v>
                </c:pt>
                <c:pt idx="160">
                  <c:v>2016-05-01</c:v>
                </c:pt>
                <c:pt idx="161">
                  <c:v>2016-06-01</c:v>
                </c:pt>
                <c:pt idx="162">
                  <c:v>2016-07-01</c:v>
                </c:pt>
                <c:pt idx="163">
                  <c:v>2016-08-01</c:v>
                </c:pt>
                <c:pt idx="164">
                  <c:v>2016-09-01</c:v>
                </c:pt>
                <c:pt idx="165">
                  <c:v>2016-10-01</c:v>
                </c:pt>
                <c:pt idx="166">
                  <c:v>2016-11-01</c:v>
                </c:pt>
                <c:pt idx="167">
                  <c:v>2016-12-01</c:v>
                </c:pt>
                <c:pt idx="168">
                  <c:v>2017-01-01</c:v>
                </c:pt>
                <c:pt idx="169">
                  <c:v>2017-02-01</c:v>
                </c:pt>
                <c:pt idx="170">
                  <c:v>2017-03-01</c:v>
                </c:pt>
                <c:pt idx="171">
                  <c:v>2017-04-01</c:v>
                </c:pt>
                <c:pt idx="172">
                  <c:v>2017-05-01</c:v>
                </c:pt>
                <c:pt idx="173">
                  <c:v>2017-06-01</c:v>
                </c:pt>
                <c:pt idx="174">
                  <c:v>2017-07-01</c:v>
                </c:pt>
                <c:pt idx="175">
                  <c:v>2017-08-01</c:v>
                </c:pt>
                <c:pt idx="176">
                  <c:v>2017-09-01</c:v>
                </c:pt>
                <c:pt idx="177">
                  <c:v>2017-10-01</c:v>
                </c:pt>
                <c:pt idx="178">
                  <c:v>2017-11-01</c:v>
                </c:pt>
                <c:pt idx="179">
                  <c:v>2017-12-01</c:v>
                </c:pt>
                <c:pt idx="180">
                  <c:v>2018-01-01</c:v>
                </c:pt>
                <c:pt idx="181">
                  <c:v>2018-02-01</c:v>
                </c:pt>
                <c:pt idx="182">
                  <c:v>2018-03-01</c:v>
                </c:pt>
                <c:pt idx="183">
                  <c:v>2018-04-01</c:v>
                </c:pt>
                <c:pt idx="184">
                  <c:v>2018-05-01</c:v>
                </c:pt>
                <c:pt idx="185">
                  <c:v>2018-06-01</c:v>
                </c:pt>
                <c:pt idx="186">
                  <c:v>2018-07-01</c:v>
                </c:pt>
                <c:pt idx="187">
                  <c:v>2018-08-01</c:v>
                </c:pt>
                <c:pt idx="188">
                  <c:v>2018-09-01</c:v>
                </c:pt>
                <c:pt idx="189">
                  <c:v>2018-10-01</c:v>
                </c:pt>
                <c:pt idx="190">
                  <c:v>2018-11-01</c:v>
                </c:pt>
                <c:pt idx="191">
                  <c:v>2018-12-01</c:v>
                </c:pt>
                <c:pt idx="192">
                  <c:v>2019-01-01</c:v>
                </c:pt>
                <c:pt idx="193">
                  <c:v>2019-02-01</c:v>
                </c:pt>
                <c:pt idx="194">
                  <c:v>2019-03-01</c:v>
                </c:pt>
                <c:pt idx="195">
                  <c:v>2019-04-01</c:v>
                </c:pt>
                <c:pt idx="196">
                  <c:v>2019-05-01</c:v>
                </c:pt>
                <c:pt idx="197">
                  <c:v>2019-06-01</c:v>
                </c:pt>
                <c:pt idx="198">
                  <c:v>2019-07-01</c:v>
                </c:pt>
                <c:pt idx="199">
                  <c:v>2019-08-01</c:v>
                </c:pt>
                <c:pt idx="200">
                  <c:v>2019-09-01</c:v>
                </c:pt>
                <c:pt idx="201">
                  <c:v>2019-10-01</c:v>
                </c:pt>
                <c:pt idx="202">
                  <c:v>2019-11-01</c:v>
                </c:pt>
                <c:pt idx="203">
                  <c:v>2019-12-01</c:v>
                </c:pt>
                <c:pt idx="204">
                  <c:v>2020-01-01</c:v>
                </c:pt>
                <c:pt idx="205">
                  <c:v>2020-02-01</c:v>
                </c:pt>
                <c:pt idx="206">
                  <c:v>2020-03-01</c:v>
                </c:pt>
                <c:pt idx="207">
                  <c:v>2020-04-01</c:v>
                </c:pt>
                <c:pt idx="208">
                  <c:v>2020-05-01</c:v>
                </c:pt>
                <c:pt idx="209">
                  <c:v>2020-06-01</c:v>
                </c:pt>
                <c:pt idx="210">
                  <c:v>2020-07-01</c:v>
                </c:pt>
                <c:pt idx="211">
                  <c:v>2020-08-01</c:v>
                </c:pt>
                <c:pt idx="212">
                  <c:v>2020-09-01</c:v>
                </c:pt>
                <c:pt idx="213">
                  <c:v>2020-10-01</c:v>
                </c:pt>
                <c:pt idx="214">
                  <c:v>2020-11-01</c:v>
                </c:pt>
                <c:pt idx="215">
                  <c:v>2020-12-01</c:v>
                </c:pt>
                <c:pt idx="216">
                  <c:v>2021-01-01</c:v>
                </c:pt>
                <c:pt idx="217">
                  <c:v>2021-02-01</c:v>
                </c:pt>
                <c:pt idx="218">
                  <c:v>2021-03-01</c:v>
                </c:pt>
                <c:pt idx="219">
                  <c:v>2021-04-01</c:v>
                </c:pt>
                <c:pt idx="220">
                  <c:v>2021-05-01</c:v>
                </c:pt>
                <c:pt idx="221">
                  <c:v>2021-06-01</c:v>
                </c:pt>
                <c:pt idx="222">
                  <c:v>2021-07-01</c:v>
                </c:pt>
                <c:pt idx="223">
                  <c:v>2021-08-01</c:v>
                </c:pt>
                <c:pt idx="224">
                  <c:v>2021-09-01</c:v>
                </c:pt>
                <c:pt idx="225">
                  <c:v>2021-10-01</c:v>
                </c:pt>
                <c:pt idx="226">
                  <c:v>2021-11-01</c:v>
                </c:pt>
                <c:pt idx="227">
                  <c:v>2021-12-01</c:v>
                </c:pt>
                <c:pt idx="228">
                  <c:v>2022-01-01</c:v>
                </c:pt>
                <c:pt idx="229">
                  <c:v>2022-02-01</c:v>
                </c:pt>
                <c:pt idx="230">
                  <c:v>2022-03-01</c:v>
                </c:pt>
                <c:pt idx="231">
                  <c:v>2022-04-01</c:v>
                </c:pt>
                <c:pt idx="232">
                  <c:v>2022-05-01</c:v>
                </c:pt>
                <c:pt idx="233">
                  <c:v>2022-06-01</c:v>
                </c:pt>
                <c:pt idx="234">
                  <c:v>2022-07-01</c:v>
                </c:pt>
                <c:pt idx="235">
                  <c:v>2022-08-01</c:v>
                </c:pt>
                <c:pt idx="236">
                  <c:v>2022-09-01</c:v>
                </c:pt>
                <c:pt idx="237">
                  <c:v>2022-10-01</c:v>
                </c:pt>
                <c:pt idx="238">
                  <c:v>2022-11-01</c:v>
                </c:pt>
                <c:pt idx="239">
                  <c:v>2022-12-01</c:v>
                </c:pt>
                <c:pt idx="240">
                  <c:v>2023-01-01</c:v>
                </c:pt>
                <c:pt idx="241">
                  <c:v>2023-02-01</c:v>
                </c:pt>
                <c:pt idx="242">
                  <c:v>2023-03-01</c:v>
                </c:pt>
                <c:pt idx="243">
                  <c:v>2023-04-01</c:v>
                </c:pt>
                <c:pt idx="244">
                  <c:v>2023-05-01</c:v>
                </c:pt>
                <c:pt idx="245">
                  <c:v>2023-06-01</c:v>
                </c:pt>
                <c:pt idx="246">
                  <c:v>2023-07-01</c:v>
                </c:pt>
                <c:pt idx="247">
                  <c:v>2023-08-01</c:v>
                </c:pt>
                <c:pt idx="248">
                  <c:v>2023-09-01</c:v>
                </c:pt>
                <c:pt idx="249">
                  <c:v>2023-10-01</c:v>
                </c:pt>
                <c:pt idx="250">
                  <c:v>2023-11-01</c:v>
                </c:pt>
                <c:pt idx="251">
                  <c:v>2023-12-01</c:v>
                </c:pt>
                <c:pt idx="252">
                  <c:v>2024-01-01</c:v>
                </c:pt>
                <c:pt idx="253">
                  <c:v>2024-02-01</c:v>
                </c:pt>
                <c:pt idx="254">
                  <c:v>2024-03-01</c:v>
                </c:pt>
                <c:pt idx="255">
                  <c:v>2024-04-01</c:v>
                </c:pt>
                <c:pt idx="256">
                  <c:v>2024-05-01</c:v>
                </c:pt>
                <c:pt idx="257">
                  <c:v>2024-06-01</c:v>
                </c:pt>
                <c:pt idx="258">
                  <c:v>2024-07-01</c:v>
                </c:pt>
                <c:pt idx="259">
                  <c:v>2024-08-01</c:v>
                </c:pt>
                <c:pt idx="260">
                  <c:v>2024-09-01</c:v>
                </c:pt>
                <c:pt idx="261">
                  <c:v>2024-10-01</c:v>
                </c:pt>
                <c:pt idx="262">
                  <c:v>2024-11-01</c:v>
                </c:pt>
                <c:pt idx="263">
                  <c:v>2024-12-01</c:v>
                </c:pt>
                <c:pt idx="264">
                  <c:v>2025-01-01</c:v>
                </c:pt>
                <c:pt idx="265">
                  <c:v>2025-02-01</c:v>
                </c:pt>
                <c:pt idx="266">
                  <c:v>2025-03-01</c:v>
                </c:pt>
                <c:pt idx="267">
                  <c:v>2025-04-01</c:v>
                </c:pt>
                <c:pt idx="268">
                  <c:v>2025-05-01</c:v>
                </c:pt>
                <c:pt idx="269">
                  <c:v>2025-06-01</c:v>
                </c:pt>
                <c:pt idx="270">
                  <c:v>2025-07-01</c:v>
                </c:pt>
                <c:pt idx="271">
                  <c:v>2025-08-01</c:v>
                </c:pt>
                <c:pt idx="272">
                  <c:v>2025-09-01</c:v>
                </c:pt>
                <c:pt idx="273">
                  <c:v>2025-10-01</c:v>
                </c:pt>
                <c:pt idx="274">
                  <c:v>2025-11-01</c:v>
                </c:pt>
                <c:pt idx="275">
                  <c:v>2025-12-01</c:v>
                </c:pt>
                <c:pt idx="276">
                  <c:v>2026-01-01</c:v>
                </c:pt>
                <c:pt idx="277">
                  <c:v>2026-02-01</c:v>
                </c:pt>
                <c:pt idx="278">
                  <c:v>2026-03-01</c:v>
                </c:pt>
                <c:pt idx="279">
                  <c:v>2026-04-01</c:v>
                </c:pt>
                <c:pt idx="280">
                  <c:v>2026-05-01</c:v>
                </c:pt>
                <c:pt idx="281">
                  <c:v>2026-06-01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'OilBrent Brown'!$C$7:$C$288</c15:sqref>
                  </c15:fullRef>
                </c:ext>
              </c:extLst>
              <c:f>'OilBrent Brown'!$C$8:$C$288</c:f>
              <c:numCache>
                <c:formatCode>General</c:formatCode>
                <c:ptCount val="281"/>
                <c:pt idx="0">
                  <c:v>32.662500000000001</c:v>
                </c:pt>
                <c:pt idx="1">
                  <c:v>30.168095238095201</c:v>
                </c:pt>
                <c:pt idx="2">
                  <c:v>25.035</c:v>
                </c:pt>
                <c:pt idx="3">
                  <c:v>25.714545454545402</c:v>
                </c:pt>
                <c:pt idx="4">
                  <c:v>27.566666666666599</c:v>
                </c:pt>
                <c:pt idx="5">
                  <c:v>28.5039130434782</c:v>
                </c:pt>
                <c:pt idx="6">
                  <c:v>29.718095238095199</c:v>
                </c:pt>
                <c:pt idx="7">
                  <c:v>27.044090909090901</c:v>
                </c:pt>
                <c:pt idx="8">
                  <c:v>29.435652173912999</c:v>
                </c:pt>
                <c:pt idx="9">
                  <c:v>28.948499999999999</c:v>
                </c:pt>
                <c:pt idx="10">
                  <c:v>29.743478260869502</c:v>
                </c:pt>
                <c:pt idx="11">
                  <c:v>30.981818181818099</c:v>
                </c:pt>
                <c:pt idx="12">
                  <c:v>30.795000000000002</c:v>
                </c:pt>
                <c:pt idx="13">
                  <c:v>33.424347826086901</c:v>
                </c:pt>
                <c:pt idx="14">
                  <c:v>33.357727272727203</c:v>
                </c:pt>
                <c:pt idx="15">
                  <c:v>37.589047619047598</c:v>
                </c:pt>
                <c:pt idx="16">
                  <c:v>35.437727272727201</c:v>
                </c:pt>
                <c:pt idx="17">
                  <c:v>38.226818181818103</c:v>
                </c:pt>
                <c:pt idx="18">
                  <c:v>42.224090909090897</c:v>
                </c:pt>
                <c:pt idx="19">
                  <c:v>43.315909090909003</c:v>
                </c:pt>
                <c:pt idx="20">
                  <c:v>49.736190476190401</c:v>
                </c:pt>
                <c:pt idx="21">
                  <c:v>43.748636363636301</c:v>
                </c:pt>
                <c:pt idx="22">
                  <c:v>39.965652173913</c:v>
                </c:pt>
                <c:pt idx="23">
                  <c:v>44.174761904761901</c:v>
                </c:pt>
                <c:pt idx="24">
                  <c:v>45.720999999999997</c:v>
                </c:pt>
                <c:pt idx="25">
                  <c:v>53.229130434782597</c:v>
                </c:pt>
                <c:pt idx="26">
                  <c:v>52.604285714285702</c:v>
                </c:pt>
                <c:pt idx="27">
                  <c:v>49.285454545454499</c:v>
                </c:pt>
                <c:pt idx="28">
                  <c:v>54.839090909090899</c:v>
                </c:pt>
                <c:pt idx="29">
                  <c:v>57.625714285714203</c:v>
                </c:pt>
                <c:pt idx="30">
                  <c:v>63.950434782608703</c:v>
                </c:pt>
                <c:pt idx="31">
                  <c:v>63.261363636363598</c:v>
                </c:pt>
                <c:pt idx="32">
                  <c:v>58.908571428571399</c:v>
                </c:pt>
                <c:pt idx="33">
                  <c:v>55.449545454545401</c:v>
                </c:pt>
                <c:pt idx="34">
                  <c:v>57.156818181818103</c:v>
                </c:pt>
                <c:pt idx="35">
                  <c:v>63.311818181818097</c:v>
                </c:pt>
                <c:pt idx="36">
                  <c:v>60.805500000000002</c:v>
                </c:pt>
                <c:pt idx="37">
                  <c:v>62.746956521739101</c:v>
                </c:pt>
                <c:pt idx="38">
                  <c:v>70.34</c:v>
                </c:pt>
                <c:pt idx="39">
                  <c:v>70.510000000000005</c:v>
                </c:pt>
                <c:pt idx="40">
                  <c:v>69.232727272727203</c:v>
                </c:pt>
                <c:pt idx="41">
                  <c:v>74.040952380952305</c:v>
                </c:pt>
                <c:pt idx="42">
                  <c:v>73.500434782608707</c:v>
                </c:pt>
                <c:pt idx="43">
                  <c:v>62.527142857142799</c:v>
                </c:pt>
                <c:pt idx="44">
                  <c:v>58.758181818181797</c:v>
                </c:pt>
                <c:pt idx="45">
                  <c:v>59.222727272727198</c:v>
                </c:pt>
                <c:pt idx="46">
                  <c:v>62.260476190476098</c:v>
                </c:pt>
                <c:pt idx="47">
                  <c:v>54.5030434782608</c:v>
                </c:pt>
                <c:pt idx="48">
                  <c:v>57.969499999999996</c:v>
                </c:pt>
                <c:pt idx="49">
                  <c:v>62.357272727272701</c:v>
                </c:pt>
                <c:pt idx="50">
                  <c:v>67.690476190476105</c:v>
                </c:pt>
                <c:pt idx="51">
                  <c:v>67.717826086956507</c:v>
                </c:pt>
                <c:pt idx="52">
                  <c:v>70.619047619047606</c:v>
                </c:pt>
                <c:pt idx="53">
                  <c:v>76.133181818181797</c:v>
                </c:pt>
                <c:pt idx="54">
                  <c:v>71.313043478260795</c:v>
                </c:pt>
                <c:pt idx="55">
                  <c:v>76.772000000000006</c:v>
                </c:pt>
                <c:pt idx="56">
                  <c:v>82.507391304347806</c:v>
                </c:pt>
                <c:pt idx="57">
                  <c:v>92.731363636363596</c:v>
                </c:pt>
                <c:pt idx="58">
                  <c:v>91.519523809523804</c:v>
                </c:pt>
                <c:pt idx="59">
                  <c:v>92.091739130434703</c:v>
                </c:pt>
                <c:pt idx="60">
                  <c:v>94.722380952380902</c:v>
                </c:pt>
                <c:pt idx="61">
                  <c:v>103.161904761904</c:v>
                </c:pt>
                <c:pt idx="62">
                  <c:v>110.03318181818101</c:v>
                </c:pt>
                <c:pt idx="63">
                  <c:v>123.862272727272</c:v>
                </c:pt>
                <c:pt idx="64">
                  <c:v>132.760476190476</c:v>
                </c:pt>
                <c:pt idx="65">
                  <c:v>133.58521739130401</c:v>
                </c:pt>
                <c:pt idx="66">
                  <c:v>113.800476190476</c:v>
                </c:pt>
                <c:pt idx="67">
                  <c:v>98.755454545454498</c:v>
                </c:pt>
                <c:pt idx="68">
                  <c:v>71.963478260869493</c:v>
                </c:pt>
                <c:pt idx="69">
                  <c:v>52.713500000000003</c:v>
                </c:pt>
                <c:pt idx="70">
                  <c:v>40.511739130434698</c:v>
                </c:pt>
                <c:pt idx="71">
                  <c:v>43.174545454545402</c:v>
                </c:pt>
                <c:pt idx="72">
                  <c:v>42.910499999999999</c:v>
                </c:pt>
                <c:pt idx="73">
                  <c:v>46.582727272727197</c:v>
                </c:pt>
                <c:pt idx="74">
                  <c:v>50.519090909090899</c:v>
                </c:pt>
                <c:pt idx="75">
                  <c:v>57.501428571428498</c:v>
                </c:pt>
                <c:pt idx="76">
                  <c:v>68.58</c:v>
                </c:pt>
                <c:pt idx="77">
                  <c:v>64.904347826086905</c:v>
                </c:pt>
                <c:pt idx="78">
                  <c:v>72.591904761904701</c:v>
                </c:pt>
                <c:pt idx="79">
                  <c:v>67.513181818181806</c:v>
                </c:pt>
                <c:pt idx="80">
                  <c:v>72.968636363636307</c:v>
                </c:pt>
                <c:pt idx="81">
                  <c:v>76.936666666666596</c:v>
                </c:pt>
                <c:pt idx="82">
                  <c:v>74.789565217391299</c:v>
                </c:pt>
                <c:pt idx="83">
                  <c:v>76.602380952380898</c:v>
                </c:pt>
                <c:pt idx="84">
                  <c:v>73.903000000000006</c:v>
                </c:pt>
                <c:pt idx="85">
                  <c:v>79.519130434782596</c:v>
                </c:pt>
                <c:pt idx="86">
                  <c:v>85.156363636363594</c:v>
                </c:pt>
                <c:pt idx="87">
                  <c:v>76.132380952380899</c:v>
                </c:pt>
                <c:pt idx="88">
                  <c:v>75.246363636363597</c:v>
                </c:pt>
                <c:pt idx="89">
                  <c:v>75.194999999999894</c:v>
                </c:pt>
                <c:pt idx="90">
                  <c:v>76.891818181818095</c:v>
                </c:pt>
                <c:pt idx="91">
                  <c:v>77.938181818181803</c:v>
                </c:pt>
                <c:pt idx="92">
                  <c:v>83.338571428571399</c:v>
                </c:pt>
                <c:pt idx="93">
                  <c:v>85.800909090909002</c:v>
                </c:pt>
                <c:pt idx="94">
                  <c:v>91.959999999999894</c:v>
                </c:pt>
                <c:pt idx="95">
                  <c:v>96.952380952380906</c:v>
                </c:pt>
                <c:pt idx="96">
                  <c:v>104.2385</c:v>
                </c:pt>
                <c:pt idx="97">
                  <c:v>114.91739130434701</c:v>
                </c:pt>
                <c:pt idx="98">
                  <c:v>123.325714285714</c:v>
                </c:pt>
                <c:pt idx="99">
                  <c:v>114.92954545454501</c:v>
                </c:pt>
                <c:pt idx="100">
                  <c:v>114.370454545454</c:v>
                </c:pt>
                <c:pt idx="101">
                  <c:v>117.48333333333299</c:v>
                </c:pt>
                <c:pt idx="102">
                  <c:v>110.354782608695</c:v>
                </c:pt>
                <c:pt idx="103">
                  <c:v>111.96272727272699</c:v>
                </c:pt>
                <c:pt idx="104">
                  <c:v>110.429523809523</c:v>
                </c:pt>
                <c:pt idx="105">
                  <c:v>111.15863636363601</c:v>
                </c:pt>
                <c:pt idx="106">
                  <c:v>108.347727272727</c:v>
                </c:pt>
                <c:pt idx="107">
                  <c:v>111.41500000000001</c:v>
                </c:pt>
                <c:pt idx="108">
                  <c:v>119.165714285714</c:v>
                </c:pt>
                <c:pt idx="109">
                  <c:v>124.70318181818099</c:v>
                </c:pt>
                <c:pt idx="110">
                  <c:v>120.47</c:v>
                </c:pt>
                <c:pt idx="111">
                  <c:v>110.822173913043</c:v>
                </c:pt>
                <c:pt idx="112">
                  <c:v>95.889047619047602</c:v>
                </c:pt>
                <c:pt idx="113">
                  <c:v>102.979545454545</c:v>
                </c:pt>
                <c:pt idx="114">
                  <c:v>113.780434782608</c:v>
                </c:pt>
                <c:pt idx="115">
                  <c:v>113.641499999999</c:v>
                </c:pt>
                <c:pt idx="116">
                  <c:v>111.79260869565201</c:v>
                </c:pt>
                <c:pt idx="117">
                  <c:v>109.91181818181801</c:v>
                </c:pt>
                <c:pt idx="118">
                  <c:v>109.569047619047</c:v>
                </c:pt>
                <c:pt idx="119">
                  <c:v>112.527826086956</c:v>
                </c:pt>
                <c:pt idx="120">
                  <c:v>116.488</c:v>
                </c:pt>
                <c:pt idx="121">
                  <c:v>109.585714285714</c:v>
                </c:pt>
                <c:pt idx="122">
                  <c:v>102.959999999999</c:v>
                </c:pt>
                <c:pt idx="123">
                  <c:v>102.980434782608</c:v>
                </c:pt>
                <c:pt idx="124">
                  <c:v>103.35850000000001</c:v>
                </c:pt>
                <c:pt idx="125">
                  <c:v>107.779565217391</c:v>
                </c:pt>
                <c:pt idx="126">
                  <c:v>111.058181818181</c:v>
                </c:pt>
                <c:pt idx="127">
                  <c:v>111.962857142857</c:v>
                </c:pt>
                <c:pt idx="128">
                  <c:v>109.618695652173</c:v>
                </c:pt>
                <c:pt idx="129">
                  <c:v>108.150476190476</c:v>
                </c:pt>
                <c:pt idx="130">
                  <c:v>111.070454545454</c:v>
                </c:pt>
                <c:pt idx="131">
                  <c:v>107.926956521739</c:v>
                </c:pt>
                <c:pt idx="132">
                  <c:v>108.837999999999</c:v>
                </c:pt>
                <c:pt idx="133">
                  <c:v>107.86809523809499</c:v>
                </c:pt>
                <c:pt idx="134">
                  <c:v>108.00363636363601</c:v>
                </c:pt>
                <c:pt idx="135">
                  <c:v>109.832272727272</c:v>
                </c:pt>
                <c:pt idx="136">
                  <c:v>112.240952380952</c:v>
                </c:pt>
                <c:pt idx="137">
                  <c:v>107.46260869565199</c:v>
                </c:pt>
                <c:pt idx="138">
                  <c:v>102.40190476190401</c:v>
                </c:pt>
                <c:pt idx="139">
                  <c:v>97.852727272727194</c:v>
                </c:pt>
                <c:pt idx="140">
                  <c:v>87.584782608695605</c:v>
                </c:pt>
                <c:pt idx="141">
                  <c:v>79.229500000000002</c:v>
                </c:pt>
                <c:pt idx="142">
                  <c:v>62.903913043478198</c:v>
                </c:pt>
                <c:pt idx="143">
                  <c:v>48.933181818181801</c:v>
                </c:pt>
                <c:pt idx="144">
                  <c:v>58.253999999999998</c:v>
                </c:pt>
                <c:pt idx="145">
                  <c:v>56.524545454545397</c:v>
                </c:pt>
                <c:pt idx="146">
                  <c:v>59.826363636363602</c:v>
                </c:pt>
                <c:pt idx="147">
                  <c:v>65.193809523809506</c:v>
                </c:pt>
                <c:pt idx="148">
                  <c:v>62.62</c:v>
                </c:pt>
                <c:pt idx="149">
                  <c:v>56.829565217391298</c:v>
                </c:pt>
                <c:pt idx="150">
                  <c:v>47.533809523809502</c:v>
                </c:pt>
                <c:pt idx="151">
                  <c:v>48.030454545454504</c:v>
                </c:pt>
                <c:pt idx="152">
                  <c:v>48.906363636363601</c:v>
                </c:pt>
                <c:pt idx="153">
                  <c:v>45.095238095238102</c:v>
                </c:pt>
                <c:pt idx="154">
                  <c:v>38.525217391304302</c:v>
                </c:pt>
                <c:pt idx="155">
                  <c:v>32.045238095238098</c:v>
                </c:pt>
                <c:pt idx="156">
                  <c:v>33.762380952380902</c:v>
                </c:pt>
                <c:pt idx="157">
                  <c:v>39.792173913043399</c:v>
                </c:pt>
                <c:pt idx="158">
                  <c:v>43.330476190476098</c:v>
                </c:pt>
                <c:pt idx="159">
                  <c:v>47.734999999999999</c:v>
                </c:pt>
                <c:pt idx="160">
                  <c:v>49.877272727272697</c:v>
                </c:pt>
                <c:pt idx="161">
                  <c:v>46.598571428571397</c:v>
                </c:pt>
                <c:pt idx="162">
                  <c:v>47.052173913043397</c:v>
                </c:pt>
                <c:pt idx="163">
                  <c:v>47.376818181818102</c:v>
                </c:pt>
                <c:pt idx="164">
                  <c:v>51.413809523809498</c:v>
                </c:pt>
                <c:pt idx="165">
                  <c:v>46.942272727272702</c:v>
                </c:pt>
                <c:pt idx="166">
                  <c:v>55.022727272727202</c:v>
                </c:pt>
                <c:pt idx="167">
                  <c:v>55.710909090908999</c:v>
                </c:pt>
                <c:pt idx="168">
                  <c:v>56.095999999999997</c:v>
                </c:pt>
                <c:pt idx="169">
                  <c:v>52.655217391304298</c:v>
                </c:pt>
                <c:pt idx="170">
                  <c:v>53.978000000000002</c:v>
                </c:pt>
                <c:pt idx="171">
                  <c:v>51.374347826086897</c:v>
                </c:pt>
                <c:pt idx="172">
                  <c:v>47.652727272727198</c:v>
                </c:pt>
                <c:pt idx="173">
                  <c:v>49.253333333333302</c:v>
                </c:pt>
                <c:pt idx="174">
                  <c:v>51.9278260869565</c:v>
                </c:pt>
                <c:pt idx="175">
                  <c:v>55.557619047618999</c:v>
                </c:pt>
                <c:pt idx="176">
                  <c:v>57.536363636363603</c:v>
                </c:pt>
                <c:pt idx="177">
                  <c:v>62.8363636363636</c:v>
                </c:pt>
                <c:pt idx="178">
                  <c:v>64.064285714285703</c:v>
                </c:pt>
                <c:pt idx="179">
                  <c:v>68.889130434782601</c:v>
                </c:pt>
                <c:pt idx="180">
                  <c:v>65.6965</c:v>
                </c:pt>
                <c:pt idx="181">
                  <c:v>66.891818181818095</c:v>
                </c:pt>
                <c:pt idx="182">
                  <c:v>71.932857142857102</c:v>
                </c:pt>
                <c:pt idx="183">
                  <c:v>76.934347826086906</c:v>
                </c:pt>
                <c:pt idx="184">
                  <c:v>75.802857142857107</c:v>
                </c:pt>
                <c:pt idx="185">
                  <c:v>75.2290909090909</c:v>
                </c:pt>
                <c:pt idx="186">
                  <c:v>73.851304347826002</c:v>
                </c:pt>
                <c:pt idx="187">
                  <c:v>79.162999999999997</c:v>
                </c:pt>
                <c:pt idx="188">
                  <c:v>80.783478260869501</c:v>
                </c:pt>
                <c:pt idx="189">
                  <c:v>66.228636363636298</c:v>
                </c:pt>
                <c:pt idx="190">
                  <c:v>57.948095238095199</c:v>
                </c:pt>
                <c:pt idx="191">
                  <c:v>59.944782608695597</c:v>
                </c:pt>
                <c:pt idx="192">
                  <c:v>64.384</c:v>
                </c:pt>
                <c:pt idx="193">
                  <c:v>66.941904761904695</c:v>
                </c:pt>
                <c:pt idx="194">
                  <c:v>71.475909090908999</c:v>
                </c:pt>
                <c:pt idx="195">
                  <c:v>70.389130434782601</c:v>
                </c:pt>
                <c:pt idx="196">
                  <c:v>63.208500000000001</c:v>
                </c:pt>
                <c:pt idx="197">
                  <c:v>64.3221739130434</c:v>
                </c:pt>
                <c:pt idx="198">
                  <c:v>59.618181818181803</c:v>
                </c:pt>
                <c:pt idx="199">
                  <c:v>62.430952380952299</c:v>
                </c:pt>
                <c:pt idx="200">
                  <c:v>59.631304347826003</c:v>
                </c:pt>
                <c:pt idx="201">
                  <c:v>62.686666666666603</c:v>
                </c:pt>
                <c:pt idx="202">
                  <c:v>65.3481818181818</c:v>
                </c:pt>
                <c:pt idx="203">
                  <c:v>63.898695652173899</c:v>
                </c:pt>
                <c:pt idx="204">
                  <c:v>55.691000000000003</c:v>
                </c:pt>
                <c:pt idx="205">
                  <c:v>33.947272727272697</c:v>
                </c:pt>
                <c:pt idx="206">
                  <c:v>26.848636363636299</c:v>
                </c:pt>
                <c:pt idx="207">
                  <c:v>32.422380952380898</c:v>
                </c:pt>
                <c:pt idx="208">
                  <c:v>40.860454545454502</c:v>
                </c:pt>
                <c:pt idx="209">
                  <c:v>43.295652173912998</c:v>
                </c:pt>
                <c:pt idx="210">
                  <c:v>45.081428571428503</c:v>
                </c:pt>
                <c:pt idx="211">
                  <c:v>41.926818181818099</c:v>
                </c:pt>
                <c:pt idx="212">
                  <c:v>41.606818181818099</c:v>
                </c:pt>
                <c:pt idx="213">
                  <c:v>44.05</c:v>
                </c:pt>
                <c:pt idx="214">
                  <c:v>50.376956521739103</c:v>
                </c:pt>
                <c:pt idx="215">
                  <c:v>55.224761904761898</c:v>
                </c:pt>
                <c:pt idx="216">
                  <c:v>62.362499999999997</c:v>
                </c:pt>
                <c:pt idx="217">
                  <c:v>65.796086956521705</c:v>
                </c:pt>
                <c:pt idx="218">
                  <c:v>65.531818181818096</c:v>
                </c:pt>
                <c:pt idx="219">
                  <c:v>68.375238095238103</c:v>
                </c:pt>
                <c:pt idx="220">
                  <c:v>73.512727272727204</c:v>
                </c:pt>
                <c:pt idx="221">
                  <c:v>74.403181818181807</c:v>
                </c:pt>
                <c:pt idx="222">
                  <c:v>70.588181818181795</c:v>
                </c:pt>
                <c:pt idx="223">
                  <c:v>74.749545454545398</c:v>
                </c:pt>
                <c:pt idx="224">
                  <c:v>83.865238095238098</c:v>
                </c:pt>
                <c:pt idx="225">
                  <c:v>80.890454545454503</c:v>
                </c:pt>
                <c:pt idx="226">
                  <c:v>74.678260869565193</c:v>
                </c:pt>
                <c:pt idx="227">
                  <c:v>85.622380952380894</c:v>
                </c:pt>
                <c:pt idx="228">
                  <c:v>94.266999999999996</c:v>
                </c:pt>
                <c:pt idx="229">
                  <c:v>112.44</c:v>
                </c:pt>
                <c:pt idx="230">
                  <c:v>106.155714285714</c:v>
                </c:pt>
                <c:pt idx="231">
                  <c:v>112.113636363636</c:v>
                </c:pt>
                <c:pt idx="232">
                  <c:v>117.692727272727</c:v>
                </c:pt>
                <c:pt idx="233">
                  <c:v>105.252857142857</c:v>
                </c:pt>
                <c:pt idx="234">
                  <c:v>97.643043478260793</c:v>
                </c:pt>
                <c:pt idx="235">
                  <c:v>90.608181818181805</c:v>
                </c:pt>
                <c:pt idx="236">
                  <c:v>93.718571428571394</c:v>
                </c:pt>
                <c:pt idx="237">
                  <c:v>90.938636363636306</c:v>
                </c:pt>
                <c:pt idx="238">
                  <c:v>81.503181818181801</c:v>
                </c:pt>
                <c:pt idx="239">
                  <c:v>84.081818181818093</c:v>
                </c:pt>
                <c:pt idx="240">
                  <c:v>83.632499999999894</c:v>
                </c:pt>
                <c:pt idx="241">
                  <c:v>79.256521739130406</c:v>
                </c:pt>
                <c:pt idx="242">
                  <c:v>83.536000000000001</c:v>
                </c:pt>
                <c:pt idx="243">
                  <c:v>75.747391304347801</c:v>
                </c:pt>
                <c:pt idx="244">
                  <c:v>74.974999999999895</c:v>
                </c:pt>
                <c:pt idx="245">
                  <c:v>80.109047619047601</c:v>
                </c:pt>
                <c:pt idx="246">
                  <c:v>85.168260869565202</c:v>
                </c:pt>
                <c:pt idx="247">
                  <c:v>92.673333333333304</c:v>
                </c:pt>
                <c:pt idx="248">
                  <c:v>88.947727272727207</c:v>
                </c:pt>
                <c:pt idx="249">
                  <c:v>82.186363636363595</c:v>
                </c:pt>
                <c:pt idx="250">
                  <c:v>77.540952380952305</c:v>
                </c:pt>
                <c:pt idx="251">
                  <c:v>79.11</c:v>
                </c:pt>
                <c:pt idx="252">
                  <c:v>81.795714285714297</c:v>
                </c:pt>
                <c:pt idx="253">
                  <c:v>84.961428571428499</c:v>
                </c:pt>
                <c:pt idx="254">
                  <c:v>88.974545454545407</c:v>
                </c:pt>
                <c:pt idx="255">
                  <c:v>83.053913043478204</c:v>
                </c:pt>
                <c:pt idx="256">
                  <c:v>82.917500000000004</c:v>
                </c:pt>
                <c:pt idx="257">
                  <c:v>84.048695652173905</c:v>
                </c:pt>
                <c:pt idx="258">
                  <c:v>79.018636363636304</c:v>
                </c:pt>
                <c:pt idx="259">
                  <c:v>73.057619047618999</c:v>
                </c:pt>
                <c:pt idx="260">
                  <c:v>75.266521739130397</c:v>
                </c:pt>
                <c:pt idx="261">
                  <c:v>73.5085714285714</c:v>
                </c:pt>
                <c:pt idx="262">
                  <c:v>73.227727272727194</c:v>
                </c:pt>
                <c:pt idx="263">
                  <c:v>78.193913043478204</c:v>
                </c:pt>
                <c:pt idx="264">
                  <c:v>75.192999999999998</c:v>
                </c:pt>
                <c:pt idx="265">
                  <c:v>71.7414285714285</c:v>
                </c:pt>
                <c:pt idx="266">
                  <c:v>66.927272727272694</c:v>
                </c:pt>
                <c:pt idx="267">
                  <c:v>64.092727272727203</c:v>
                </c:pt>
                <c:pt idx="268">
                  <c:v>69.846666666666593</c:v>
                </c:pt>
                <c:pt idx="269">
                  <c:v>69.564782608695594</c:v>
                </c:pt>
                <c:pt idx="270">
                  <c:v>67.244285714285695</c:v>
                </c:pt>
                <c:pt idx="271">
                  <c:v>67.609090909090895</c:v>
                </c:pt>
                <c:pt idx="272">
                  <c:v>63.981304347825997</c:v>
                </c:pt>
                <c:pt idx="273">
                  <c:v>63.6935</c:v>
                </c:pt>
                <c:pt idx="274">
                  <c:v>61.810909090909</c:v>
                </c:pt>
                <c:pt idx="275">
                  <c:v>64.594090909090895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C1-485F-BD2F-D847386CF6DC}"/>
            </c:ext>
          </c:extLst>
        </c:ser>
        <c:ser>
          <c:idx val="1"/>
          <c:order val="1"/>
          <c:tx>
            <c:strRef>
              <c:f>'OilBrent Brown'!$I$6</c:f>
              <c:strCache>
                <c:ptCount val="1"/>
                <c:pt idx="0">
                  <c:v>Y 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'OilBrent Brown'!$B$6:$B$288</c15:sqref>
                  </c15:fullRef>
                </c:ext>
              </c:extLst>
              <c:f>'OilBrent Brown'!$B$7:$B$288</c:f>
              <c:strCache>
                <c:ptCount val="282"/>
                <c:pt idx="0">
                  <c:v>2003-01-01</c:v>
                </c:pt>
                <c:pt idx="1">
                  <c:v>2003-02-01</c:v>
                </c:pt>
                <c:pt idx="2">
                  <c:v>2003-03-01</c:v>
                </c:pt>
                <c:pt idx="3">
                  <c:v>2003-04-01</c:v>
                </c:pt>
                <c:pt idx="4">
                  <c:v>2003-05-01</c:v>
                </c:pt>
                <c:pt idx="5">
                  <c:v>2003-06-01</c:v>
                </c:pt>
                <c:pt idx="6">
                  <c:v>2003-07-01</c:v>
                </c:pt>
                <c:pt idx="7">
                  <c:v>2003-08-01</c:v>
                </c:pt>
                <c:pt idx="8">
                  <c:v>2003-09-01</c:v>
                </c:pt>
                <c:pt idx="9">
                  <c:v>2003-10-01</c:v>
                </c:pt>
                <c:pt idx="10">
                  <c:v>2003-11-01</c:v>
                </c:pt>
                <c:pt idx="11">
                  <c:v>2003-12-01</c:v>
                </c:pt>
                <c:pt idx="12">
                  <c:v>2004-01-01</c:v>
                </c:pt>
                <c:pt idx="13">
                  <c:v>2004-02-01</c:v>
                </c:pt>
                <c:pt idx="14">
                  <c:v>2004-03-01</c:v>
                </c:pt>
                <c:pt idx="15">
                  <c:v>2004-04-01</c:v>
                </c:pt>
                <c:pt idx="16">
                  <c:v>2004-05-01</c:v>
                </c:pt>
                <c:pt idx="17">
                  <c:v>2004-06-01</c:v>
                </c:pt>
                <c:pt idx="18">
                  <c:v>2004-07-01</c:v>
                </c:pt>
                <c:pt idx="19">
                  <c:v>2004-08-01</c:v>
                </c:pt>
                <c:pt idx="20">
                  <c:v>2004-09-01</c:v>
                </c:pt>
                <c:pt idx="21">
                  <c:v>2004-10-01</c:v>
                </c:pt>
                <c:pt idx="22">
                  <c:v>2004-11-01</c:v>
                </c:pt>
                <c:pt idx="23">
                  <c:v>2004-12-01</c:v>
                </c:pt>
                <c:pt idx="24">
                  <c:v>2005-01-01</c:v>
                </c:pt>
                <c:pt idx="25">
                  <c:v>2005-02-01</c:v>
                </c:pt>
                <c:pt idx="26">
                  <c:v>2005-03-01</c:v>
                </c:pt>
                <c:pt idx="27">
                  <c:v>2005-04-01</c:v>
                </c:pt>
                <c:pt idx="28">
                  <c:v>2005-05-01</c:v>
                </c:pt>
                <c:pt idx="29">
                  <c:v>2005-06-01</c:v>
                </c:pt>
                <c:pt idx="30">
                  <c:v>2005-07-01</c:v>
                </c:pt>
                <c:pt idx="31">
                  <c:v>2005-08-01</c:v>
                </c:pt>
                <c:pt idx="32">
                  <c:v>2005-09-01</c:v>
                </c:pt>
                <c:pt idx="33">
                  <c:v>2005-10-01</c:v>
                </c:pt>
                <c:pt idx="34">
                  <c:v>2005-11-01</c:v>
                </c:pt>
                <c:pt idx="35">
                  <c:v>2005-12-01</c:v>
                </c:pt>
                <c:pt idx="36">
                  <c:v>2006-01-01</c:v>
                </c:pt>
                <c:pt idx="37">
                  <c:v>2006-02-01</c:v>
                </c:pt>
                <c:pt idx="38">
                  <c:v>2006-03-01</c:v>
                </c:pt>
                <c:pt idx="39">
                  <c:v>2006-04-01</c:v>
                </c:pt>
                <c:pt idx="40">
                  <c:v>2006-05-01</c:v>
                </c:pt>
                <c:pt idx="41">
                  <c:v>2006-06-01</c:v>
                </c:pt>
                <c:pt idx="42">
                  <c:v>2006-07-01</c:v>
                </c:pt>
                <c:pt idx="43">
                  <c:v>2006-08-01</c:v>
                </c:pt>
                <c:pt idx="44">
                  <c:v>2006-09-01</c:v>
                </c:pt>
                <c:pt idx="45">
                  <c:v>2006-10-01</c:v>
                </c:pt>
                <c:pt idx="46">
                  <c:v>2006-11-01</c:v>
                </c:pt>
                <c:pt idx="47">
                  <c:v>2006-12-01</c:v>
                </c:pt>
                <c:pt idx="48">
                  <c:v>2007-01-01</c:v>
                </c:pt>
                <c:pt idx="49">
                  <c:v>2007-02-01</c:v>
                </c:pt>
                <c:pt idx="50">
                  <c:v>2007-03-01</c:v>
                </c:pt>
                <c:pt idx="51">
                  <c:v>2007-04-01</c:v>
                </c:pt>
                <c:pt idx="52">
                  <c:v>2007-05-01</c:v>
                </c:pt>
                <c:pt idx="53">
                  <c:v>2007-06-01</c:v>
                </c:pt>
                <c:pt idx="54">
                  <c:v>2007-07-01</c:v>
                </c:pt>
                <c:pt idx="55">
                  <c:v>2007-08-01</c:v>
                </c:pt>
                <c:pt idx="56">
                  <c:v>2007-09-01</c:v>
                </c:pt>
                <c:pt idx="57">
                  <c:v>2007-10-01</c:v>
                </c:pt>
                <c:pt idx="58">
                  <c:v>2007-11-01</c:v>
                </c:pt>
                <c:pt idx="59">
                  <c:v>2007-12-01</c:v>
                </c:pt>
                <c:pt idx="60">
                  <c:v>2008-01-01</c:v>
                </c:pt>
                <c:pt idx="61">
                  <c:v>2008-02-01</c:v>
                </c:pt>
                <c:pt idx="62">
                  <c:v>2008-03-01</c:v>
                </c:pt>
                <c:pt idx="63">
                  <c:v>2008-04-01</c:v>
                </c:pt>
                <c:pt idx="64">
                  <c:v>2008-05-01</c:v>
                </c:pt>
                <c:pt idx="65">
                  <c:v>2008-06-01</c:v>
                </c:pt>
                <c:pt idx="66">
                  <c:v>2008-07-01</c:v>
                </c:pt>
                <c:pt idx="67">
                  <c:v>2008-08-01</c:v>
                </c:pt>
                <c:pt idx="68">
                  <c:v>2008-09-01</c:v>
                </c:pt>
                <c:pt idx="69">
                  <c:v>2008-10-01</c:v>
                </c:pt>
                <c:pt idx="70">
                  <c:v>2008-11-01</c:v>
                </c:pt>
                <c:pt idx="71">
                  <c:v>2008-12-01</c:v>
                </c:pt>
                <c:pt idx="72">
                  <c:v>2009-01-01</c:v>
                </c:pt>
                <c:pt idx="73">
                  <c:v>2009-02-01</c:v>
                </c:pt>
                <c:pt idx="74">
                  <c:v>2009-03-01</c:v>
                </c:pt>
                <c:pt idx="75">
                  <c:v>2009-04-01</c:v>
                </c:pt>
                <c:pt idx="76">
                  <c:v>2009-05-01</c:v>
                </c:pt>
                <c:pt idx="77">
                  <c:v>2009-06-01</c:v>
                </c:pt>
                <c:pt idx="78">
                  <c:v>2009-07-01</c:v>
                </c:pt>
                <c:pt idx="79">
                  <c:v>2009-08-01</c:v>
                </c:pt>
                <c:pt idx="80">
                  <c:v>2009-09-01</c:v>
                </c:pt>
                <c:pt idx="81">
                  <c:v>2009-10-01</c:v>
                </c:pt>
                <c:pt idx="82">
                  <c:v>2009-11-01</c:v>
                </c:pt>
                <c:pt idx="83">
                  <c:v>2009-12-01</c:v>
                </c:pt>
                <c:pt idx="84">
                  <c:v>2010-01-01</c:v>
                </c:pt>
                <c:pt idx="85">
                  <c:v>2010-02-01</c:v>
                </c:pt>
                <c:pt idx="86">
                  <c:v>2010-03-01</c:v>
                </c:pt>
                <c:pt idx="87">
                  <c:v>2010-04-01</c:v>
                </c:pt>
                <c:pt idx="88">
                  <c:v>2010-05-01</c:v>
                </c:pt>
                <c:pt idx="89">
                  <c:v>2010-06-01</c:v>
                </c:pt>
                <c:pt idx="90">
                  <c:v>2010-07-01</c:v>
                </c:pt>
                <c:pt idx="91">
                  <c:v>2010-08-01</c:v>
                </c:pt>
                <c:pt idx="92">
                  <c:v>2010-09-01</c:v>
                </c:pt>
                <c:pt idx="93">
                  <c:v>2010-10-01</c:v>
                </c:pt>
                <c:pt idx="94">
                  <c:v>2010-11-01</c:v>
                </c:pt>
                <c:pt idx="95">
                  <c:v>2010-12-01</c:v>
                </c:pt>
                <c:pt idx="96">
                  <c:v>2011-01-01</c:v>
                </c:pt>
                <c:pt idx="97">
                  <c:v>2011-02-01</c:v>
                </c:pt>
                <c:pt idx="98">
                  <c:v>2011-03-01</c:v>
                </c:pt>
                <c:pt idx="99">
                  <c:v>2011-04-01</c:v>
                </c:pt>
                <c:pt idx="100">
                  <c:v>2011-05-01</c:v>
                </c:pt>
                <c:pt idx="101">
                  <c:v>2011-06-01</c:v>
                </c:pt>
                <c:pt idx="102">
                  <c:v>2011-07-01</c:v>
                </c:pt>
                <c:pt idx="103">
                  <c:v>2011-08-01</c:v>
                </c:pt>
                <c:pt idx="104">
                  <c:v>2011-09-01</c:v>
                </c:pt>
                <c:pt idx="105">
                  <c:v>2011-10-01</c:v>
                </c:pt>
                <c:pt idx="106">
                  <c:v>2011-11-01</c:v>
                </c:pt>
                <c:pt idx="107">
                  <c:v>2011-12-01</c:v>
                </c:pt>
                <c:pt idx="108">
                  <c:v>2012-01-01</c:v>
                </c:pt>
                <c:pt idx="109">
                  <c:v>2012-02-01</c:v>
                </c:pt>
                <c:pt idx="110">
                  <c:v>2012-03-01</c:v>
                </c:pt>
                <c:pt idx="111">
                  <c:v>2012-04-01</c:v>
                </c:pt>
                <c:pt idx="112">
                  <c:v>2012-05-01</c:v>
                </c:pt>
                <c:pt idx="113">
                  <c:v>2012-06-01</c:v>
                </c:pt>
                <c:pt idx="114">
                  <c:v>2012-07-01</c:v>
                </c:pt>
                <c:pt idx="115">
                  <c:v>2012-08-01</c:v>
                </c:pt>
                <c:pt idx="116">
                  <c:v>2012-09-01</c:v>
                </c:pt>
                <c:pt idx="117">
                  <c:v>2012-10-01</c:v>
                </c:pt>
                <c:pt idx="118">
                  <c:v>2012-11-01</c:v>
                </c:pt>
                <c:pt idx="119">
                  <c:v>2012-12-01</c:v>
                </c:pt>
                <c:pt idx="120">
                  <c:v>2013-01-01</c:v>
                </c:pt>
                <c:pt idx="121">
                  <c:v>2013-02-01</c:v>
                </c:pt>
                <c:pt idx="122">
                  <c:v>2013-03-01</c:v>
                </c:pt>
                <c:pt idx="123">
                  <c:v>2013-04-01</c:v>
                </c:pt>
                <c:pt idx="124">
                  <c:v>2013-05-01</c:v>
                </c:pt>
                <c:pt idx="125">
                  <c:v>2013-06-01</c:v>
                </c:pt>
                <c:pt idx="126">
                  <c:v>2013-07-01</c:v>
                </c:pt>
                <c:pt idx="127">
                  <c:v>2013-08-01</c:v>
                </c:pt>
                <c:pt idx="128">
                  <c:v>2013-09-01</c:v>
                </c:pt>
                <c:pt idx="129">
                  <c:v>2013-10-01</c:v>
                </c:pt>
                <c:pt idx="130">
                  <c:v>2013-11-01</c:v>
                </c:pt>
                <c:pt idx="131">
                  <c:v>2013-12-01</c:v>
                </c:pt>
                <c:pt idx="132">
                  <c:v>2014-01-01</c:v>
                </c:pt>
                <c:pt idx="133">
                  <c:v>2014-02-01</c:v>
                </c:pt>
                <c:pt idx="134">
                  <c:v>2014-03-01</c:v>
                </c:pt>
                <c:pt idx="135">
                  <c:v>2014-04-01</c:v>
                </c:pt>
                <c:pt idx="136">
                  <c:v>2014-05-01</c:v>
                </c:pt>
                <c:pt idx="137">
                  <c:v>2014-06-01</c:v>
                </c:pt>
                <c:pt idx="138">
                  <c:v>2014-07-01</c:v>
                </c:pt>
                <c:pt idx="139">
                  <c:v>2014-08-01</c:v>
                </c:pt>
                <c:pt idx="140">
                  <c:v>2014-09-01</c:v>
                </c:pt>
                <c:pt idx="141">
                  <c:v>2014-10-01</c:v>
                </c:pt>
                <c:pt idx="142">
                  <c:v>2014-11-01</c:v>
                </c:pt>
                <c:pt idx="143">
                  <c:v>2014-12-01</c:v>
                </c:pt>
                <c:pt idx="144">
                  <c:v>2015-01-01</c:v>
                </c:pt>
                <c:pt idx="145">
                  <c:v>2015-02-01</c:v>
                </c:pt>
                <c:pt idx="146">
                  <c:v>2015-03-01</c:v>
                </c:pt>
                <c:pt idx="147">
                  <c:v>2015-04-01</c:v>
                </c:pt>
                <c:pt idx="148">
                  <c:v>2015-05-01</c:v>
                </c:pt>
                <c:pt idx="149">
                  <c:v>2015-06-01</c:v>
                </c:pt>
                <c:pt idx="150">
                  <c:v>2015-07-01</c:v>
                </c:pt>
                <c:pt idx="151">
                  <c:v>2015-08-01</c:v>
                </c:pt>
                <c:pt idx="152">
                  <c:v>2015-09-01</c:v>
                </c:pt>
                <c:pt idx="153">
                  <c:v>2015-10-01</c:v>
                </c:pt>
                <c:pt idx="154">
                  <c:v>2015-11-01</c:v>
                </c:pt>
                <c:pt idx="155">
                  <c:v>2015-12-01</c:v>
                </c:pt>
                <c:pt idx="156">
                  <c:v>2016-01-01</c:v>
                </c:pt>
                <c:pt idx="157">
                  <c:v>2016-02-01</c:v>
                </c:pt>
                <c:pt idx="158">
                  <c:v>2016-03-01</c:v>
                </c:pt>
                <c:pt idx="159">
                  <c:v>2016-04-01</c:v>
                </c:pt>
                <c:pt idx="160">
                  <c:v>2016-05-01</c:v>
                </c:pt>
                <c:pt idx="161">
                  <c:v>2016-06-01</c:v>
                </c:pt>
                <c:pt idx="162">
                  <c:v>2016-07-01</c:v>
                </c:pt>
                <c:pt idx="163">
                  <c:v>2016-08-01</c:v>
                </c:pt>
                <c:pt idx="164">
                  <c:v>2016-09-01</c:v>
                </c:pt>
                <c:pt idx="165">
                  <c:v>2016-10-01</c:v>
                </c:pt>
                <c:pt idx="166">
                  <c:v>2016-11-01</c:v>
                </c:pt>
                <c:pt idx="167">
                  <c:v>2016-12-01</c:v>
                </c:pt>
                <c:pt idx="168">
                  <c:v>2017-01-01</c:v>
                </c:pt>
                <c:pt idx="169">
                  <c:v>2017-02-01</c:v>
                </c:pt>
                <c:pt idx="170">
                  <c:v>2017-03-01</c:v>
                </c:pt>
                <c:pt idx="171">
                  <c:v>2017-04-01</c:v>
                </c:pt>
                <c:pt idx="172">
                  <c:v>2017-05-01</c:v>
                </c:pt>
                <c:pt idx="173">
                  <c:v>2017-06-01</c:v>
                </c:pt>
                <c:pt idx="174">
                  <c:v>2017-07-01</c:v>
                </c:pt>
                <c:pt idx="175">
                  <c:v>2017-08-01</c:v>
                </c:pt>
                <c:pt idx="176">
                  <c:v>2017-09-01</c:v>
                </c:pt>
                <c:pt idx="177">
                  <c:v>2017-10-01</c:v>
                </c:pt>
                <c:pt idx="178">
                  <c:v>2017-11-01</c:v>
                </c:pt>
                <c:pt idx="179">
                  <c:v>2017-12-01</c:v>
                </c:pt>
                <c:pt idx="180">
                  <c:v>2018-01-01</c:v>
                </c:pt>
                <c:pt idx="181">
                  <c:v>2018-02-01</c:v>
                </c:pt>
                <c:pt idx="182">
                  <c:v>2018-03-01</c:v>
                </c:pt>
                <c:pt idx="183">
                  <c:v>2018-04-01</c:v>
                </c:pt>
                <c:pt idx="184">
                  <c:v>2018-05-01</c:v>
                </c:pt>
                <c:pt idx="185">
                  <c:v>2018-06-01</c:v>
                </c:pt>
                <c:pt idx="186">
                  <c:v>2018-07-01</c:v>
                </c:pt>
                <c:pt idx="187">
                  <c:v>2018-08-01</c:v>
                </c:pt>
                <c:pt idx="188">
                  <c:v>2018-09-01</c:v>
                </c:pt>
                <c:pt idx="189">
                  <c:v>2018-10-01</c:v>
                </c:pt>
                <c:pt idx="190">
                  <c:v>2018-11-01</c:v>
                </c:pt>
                <c:pt idx="191">
                  <c:v>2018-12-01</c:v>
                </c:pt>
                <c:pt idx="192">
                  <c:v>2019-01-01</c:v>
                </c:pt>
                <c:pt idx="193">
                  <c:v>2019-02-01</c:v>
                </c:pt>
                <c:pt idx="194">
                  <c:v>2019-03-01</c:v>
                </c:pt>
                <c:pt idx="195">
                  <c:v>2019-04-01</c:v>
                </c:pt>
                <c:pt idx="196">
                  <c:v>2019-05-01</c:v>
                </c:pt>
                <c:pt idx="197">
                  <c:v>2019-06-01</c:v>
                </c:pt>
                <c:pt idx="198">
                  <c:v>2019-07-01</c:v>
                </c:pt>
                <c:pt idx="199">
                  <c:v>2019-08-01</c:v>
                </c:pt>
                <c:pt idx="200">
                  <c:v>2019-09-01</c:v>
                </c:pt>
                <c:pt idx="201">
                  <c:v>2019-10-01</c:v>
                </c:pt>
                <c:pt idx="202">
                  <c:v>2019-11-01</c:v>
                </c:pt>
                <c:pt idx="203">
                  <c:v>2019-12-01</c:v>
                </c:pt>
                <c:pt idx="204">
                  <c:v>2020-01-01</c:v>
                </c:pt>
                <c:pt idx="205">
                  <c:v>2020-02-01</c:v>
                </c:pt>
                <c:pt idx="206">
                  <c:v>2020-03-01</c:v>
                </c:pt>
                <c:pt idx="207">
                  <c:v>2020-04-01</c:v>
                </c:pt>
                <c:pt idx="208">
                  <c:v>2020-05-01</c:v>
                </c:pt>
                <c:pt idx="209">
                  <c:v>2020-06-01</c:v>
                </c:pt>
                <c:pt idx="210">
                  <c:v>2020-07-01</c:v>
                </c:pt>
                <c:pt idx="211">
                  <c:v>2020-08-01</c:v>
                </c:pt>
                <c:pt idx="212">
                  <c:v>2020-09-01</c:v>
                </c:pt>
                <c:pt idx="213">
                  <c:v>2020-10-01</c:v>
                </c:pt>
                <c:pt idx="214">
                  <c:v>2020-11-01</c:v>
                </c:pt>
                <c:pt idx="215">
                  <c:v>2020-12-01</c:v>
                </c:pt>
                <c:pt idx="216">
                  <c:v>2021-01-01</c:v>
                </c:pt>
                <c:pt idx="217">
                  <c:v>2021-02-01</c:v>
                </c:pt>
                <c:pt idx="218">
                  <c:v>2021-03-01</c:v>
                </c:pt>
                <c:pt idx="219">
                  <c:v>2021-04-01</c:v>
                </c:pt>
                <c:pt idx="220">
                  <c:v>2021-05-01</c:v>
                </c:pt>
                <c:pt idx="221">
                  <c:v>2021-06-01</c:v>
                </c:pt>
                <c:pt idx="222">
                  <c:v>2021-07-01</c:v>
                </c:pt>
                <c:pt idx="223">
                  <c:v>2021-08-01</c:v>
                </c:pt>
                <c:pt idx="224">
                  <c:v>2021-09-01</c:v>
                </c:pt>
                <c:pt idx="225">
                  <c:v>2021-10-01</c:v>
                </c:pt>
                <c:pt idx="226">
                  <c:v>2021-11-01</c:v>
                </c:pt>
                <c:pt idx="227">
                  <c:v>2021-12-01</c:v>
                </c:pt>
                <c:pt idx="228">
                  <c:v>2022-01-01</c:v>
                </c:pt>
                <c:pt idx="229">
                  <c:v>2022-02-01</c:v>
                </c:pt>
                <c:pt idx="230">
                  <c:v>2022-03-01</c:v>
                </c:pt>
                <c:pt idx="231">
                  <c:v>2022-04-01</c:v>
                </c:pt>
                <c:pt idx="232">
                  <c:v>2022-05-01</c:v>
                </c:pt>
                <c:pt idx="233">
                  <c:v>2022-06-01</c:v>
                </c:pt>
                <c:pt idx="234">
                  <c:v>2022-07-01</c:v>
                </c:pt>
                <c:pt idx="235">
                  <c:v>2022-08-01</c:v>
                </c:pt>
                <c:pt idx="236">
                  <c:v>2022-09-01</c:v>
                </c:pt>
                <c:pt idx="237">
                  <c:v>2022-10-01</c:v>
                </c:pt>
                <c:pt idx="238">
                  <c:v>2022-11-01</c:v>
                </c:pt>
                <c:pt idx="239">
                  <c:v>2022-12-01</c:v>
                </c:pt>
                <c:pt idx="240">
                  <c:v>2023-01-01</c:v>
                </c:pt>
                <c:pt idx="241">
                  <c:v>2023-02-01</c:v>
                </c:pt>
                <c:pt idx="242">
                  <c:v>2023-03-01</c:v>
                </c:pt>
                <c:pt idx="243">
                  <c:v>2023-04-01</c:v>
                </c:pt>
                <c:pt idx="244">
                  <c:v>2023-05-01</c:v>
                </c:pt>
                <c:pt idx="245">
                  <c:v>2023-06-01</c:v>
                </c:pt>
                <c:pt idx="246">
                  <c:v>2023-07-01</c:v>
                </c:pt>
                <c:pt idx="247">
                  <c:v>2023-08-01</c:v>
                </c:pt>
                <c:pt idx="248">
                  <c:v>2023-09-01</c:v>
                </c:pt>
                <c:pt idx="249">
                  <c:v>2023-10-01</c:v>
                </c:pt>
                <c:pt idx="250">
                  <c:v>2023-11-01</c:v>
                </c:pt>
                <c:pt idx="251">
                  <c:v>2023-12-01</c:v>
                </c:pt>
                <c:pt idx="252">
                  <c:v>2024-01-01</c:v>
                </c:pt>
                <c:pt idx="253">
                  <c:v>2024-02-01</c:v>
                </c:pt>
                <c:pt idx="254">
                  <c:v>2024-03-01</c:v>
                </c:pt>
                <c:pt idx="255">
                  <c:v>2024-04-01</c:v>
                </c:pt>
                <c:pt idx="256">
                  <c:v>2024-05-01</c:v>
                </c:pt>
                <c:pt idx="257">
                  <c:v>2024-06-01</c:v>
                </c:pt>
                <c:pt idx="258">
                  <c:v>2024-07-01</c:v>
                </c:pt>
                <c:pt idx="259">
                  <c:v>2024-08-01</c:v>
                </c:pt>
                <c:pt idx="260">
                  <c:v>2024-09-01</c:v>
                </c:pt>
                <c:pt idx="261">
                  <c:v>2024-10-01</c:v>
                </c:pt>
                <c:pt idx="262">
                  <c:v>2024-11-01</c:v>
                </c:pt>
                <c:pt idx="263">
                  <c:v>2024-12-01</c:v>
                </c:pt>
                <c:pt idx="264">
                  <c:v>2025-01-01</c:v>
                </c:pt>
                <c:pt idx="265">
                  <c:v>2025-02-01</c:v>
                </c:pt>
                <c:pt idx="266">
                  <c:v>2025-03-01</c:v>
                </c:pt>
                <c:pt idx="267">
                  <c:v>2025-04-01</c:v>
                </c:pt>
                <c:pt idx="268">
                  <c:v>2025-05-01</c:v>
                </c:pt>
                <c:pt idx="269">
                  <c:v>2025-06-01</c:v>
                </c:pt>
                <c:pt idx="270">
                  <c:v>2025-07-01</c:v>
                </c:pt>
                <c:pt idx="271">
                  <c:v>2025-08-01</c:v>
                </c:pt>
                <c:pt idx="272">
                  <c:v>2025-09-01</c:v>
                </c:pt>
                <c:pt idx="273">
                  <c:v>2025-10-01</c:v>
                </c:pt>
                <c:pt idx="274">
                  <c:v>2025-11-01</c:v>
                </c:pt>
                <c:pt idx="275">
                  <c:v>2025-12-01</c:v>
                </c:pt>
                <c:pt idx="276">
                  <c:v>2026-01-01</c:v>
                </c:pt>
                <c:pt idx="277">
                  <c:v>2026-02-01</c:v>
                </c:pt>
                <c:pt idx="278">
                  <c:v>2026-03-01</c:v>
                </c:pt>
                <c:pt idx="279">
                  <c:v>2026-04-01</c:v>
                </c:pt>
                <c:pt idx="280">
                  <c:v>2026-05-01</c:v>
                </c:pt>
                <c:pt idx="281">
                  <c:v>2026-06-01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'OilBrent Brown'!$I$7:$I$283</c15:sqref>
                  </c15:fullRef>
                </c:ext>
              </c:extLst>
              <c:f>'OilBrent Brown'!$I$8:$I$283</c:f>
              <c:numCache>
                <c:formatCode>General</c:formatCode>
                <c:ptCount val="276"/>
                <c:pt idx="0">
                  <c:v>32.538089702114185</c:v>
                </c:pt>
                <c:pt idx="1">
                  <c:v>30.730480725793029</c:v>
                </c:pt>
                <c:pt idx="2">
                  <c:v>25.304920508934835</c:v>
                </c:pt>
                <c:pt idx="3">
                  <c:v>24.335578469663421</c:v>
                </c:pt>
                <c:pt idx="4">
                  <c:v>26.087471348391723</c:v>
                </c:pt>
                <c:pt idx="5">
                  <c:v>27.782378985938184</c:v>
                </c:pt>
                <c:pt idx="6">
                  <c:v>29.554569632419597</c:v>
                </c:pt>
                <c:pt idx="7">
                  <c:v>27.600107893255299</c:v>
                </c:pt>
                <c:pt idx="8">
                  <c:v>29.153797794869003</c:v>
                </c:pt>
                <c:pt idx="9">
                  <c:v>29.202968574536701</c:v>
                </c:pt>
                <c:pt idx="10">
                  <c:v>29.9032283397265</c:v>
                </c:pt>
                <c:pt idx="11">
                  <c:v>31.223056266573934</c:v>
                </c:pt>
                <c:pt idx="12">
                  <c:v>31.372019714370317</c:v>
                </c:pt>
                <c:pt idx="13">
                  <c:v>33.741774510583433</c:v>
                </c:pt>
                <c:pt idx="14">
                  <c:v>34.285187246633825</c:v>
                </c:pt>
                <c:pt idx="15">
                  <c:v>38.185451778849369</c:v>
                </c:pt>
                <c:pt idx="16">
                  <c:v>37.1590809147812</c:v>
                </c:pt>
                <c:pt idx="17">
                  <c:v>39.094289152088443</c:v>
                </c:pt>
                <c:pt idx="18">
                  <c:v>43.185483275121662</c:v>
                </c:pt>
                <c:pt idx="19">
                  <c:v>45.159544716256853</c:v>
                </c:pt>
                <c:pt idx="20">
                  <c:v>51.309813530223565</c:v>
                </c:pt>
                <c:pt idx="21">
                  <c:v>47.132581855023531</c:v>
                </c:pt>
                <c:pt idx="22">
                  <c:v>41.678049822491779</c:v>
                </c:pt>
                <c:pt idx="23">
                  <c:v>43.679311867338583</c:v>
                </c:pt>
                <c:pt idx="24">
                  <c:v>45.799298039972605</c:v>
                </c:pt>
                <c:pt idx="25">
                  <c:v>53.390037025811274</c:v>
                </c:pt>
                <c:pt idx="26">
                  <c:v>54.933059544299979</c:v>
                </c:pt>
                <c:pt idx="27">
                  <c:v>51.769554923482609</c:v>
                </c:pt>
                <c:pt idx="28">
                  <c:v>55.509424355580485</c:v>
                </c:pt>
                <c:pt idx="29">
                  <c:v>59.027861514552463</c:v>
                </c:pt>
                <c:pt idx="30">
                  <c:v>65.624692476784787</c:v>
                </c:pt>
                <c:pt idx="31">
                  <c:v>66.495591109921122</c:v>
                </c:pt>
                <c:pt idx="32">
                  <c:v>61.979174199900449</c:v>
                </c:pt>
                <c:pt idx="33">
                  <c:v>56.798473723275428</c:v>
                </c:pt>
                <c:pt idx="34">
                  <c:v>56.622834033456215</c:v>
                </c:pt>
                <c:pt idx="35">
                  <c:v>62.430944927888653</c:v>
                </c:pt>
                <c:pt idx="36">
                  <c:v>61.937940806658389</c:v>
                </c:pt>
                <c:pt idx="37">
                  <c:v>63.362369751379639</c:v>
                </c:pt>
                <c:pt idx="38">
                  <c:v>70.717450561654815</c:v>
                </c:pt>
                <c:pt idx="39">
                  <c:v>72.887774048265044</c:v>
                </c:pt>
                <c:pt idx="40">
                  <c:v>71.796737134775114</c:v>
                </c:pt>
                <c:pt idx="41">
                  <c:v>75.413827446288295</c:v>
                </c:pt>
                <c:pt idx="42">
                  <c:v>75.64060542815082</c:v>
                </c:pt>
                <c:pt idx="43">
                  <c:v>65.002661264573462</c:v>
                </c:pt>
                <c:pt idx="44">
                  <c:v>57.919613811914928</c:v>
                </c:pt>
                <c:pt idx="45">
                  <c:v>56.519019335267913</c:v>
                </c:pt>
                <c:pt idx="46">
                  <c:v>59.542426595128823</c:v>
                </c:pt>
                <c:pt idx="47">
                  <c:v>53.757676711386566</c:v>
                </c:pt>
                <c:pt idx="48">
                  <c:v>55.506855920125339</c:v>
                </c:pt>
                <c:pt idx="49">
                  <c:v>60.633919284963348</c:v>
                </c:pt>
                <c:pt idx="50">
                  <c:v>67.443737566289684</c:v>
                </c:pt>
                <c:pt idx="51">
                  <c:v>69.461563423543765</c:v>
                </c:pt>
                <c:pt idx="52">
                  <c:v>72.363133156685592</c:v>
                </c:pt>
                <c:pt idx="53">
                  <c:v>77.95377054609412</c:v>
                </c:pt>
                <c:pt idx="54">
                  <c:v>74.652559334470155</c:v>
                </c:pt>
                <c:pt idx="55">
                  <c:v>78.078787236743324</c:v>
                </c:pt>
                <c:pt idx="56">
                  <c:v>84.120336631652336</c:v>
                </c:pt>
                <c:pt idx="57">
                  <c:v>95.02715708593766</c:v>
                </c:pt>
                <c:pt idx="58">
                  <c:v>96.502116277124642</c:v>
                </c:pt>
                <c:pt idx="59">
                  <c:v>96.371757714991176</c:v>
                </c:pt>
                <c:pt idx="60">
                  <c:v>97.857538343349148</c:v>
                </c:pt>
                <c:pt idx="61">
                  <c:v>105.47153503418699</c:v>
                </c:pt>
                <c:pt idx="62">
                  <c:v>113.54673059254722</c:v>
                </c:pt>
                <c:pt idx="63">
                  <c:v>127.9821530275496</c:v>
                </c:pt>
                <c:pt idx="64">
                  <c:v>139.49632201689028</c:v>
                </c:pt>
                <c:pt idx="65">
                  <c:v>142.07806176092507</c:v>
                </c:pt>
                <c:pt idx="66">
                  <c:v>122.50827068567392</c:v>
                </c:pt>
                <c:pt idx="67">
                  <c:v>101.00721790232599</c:v>
                </c:pt>
                <c:pt idx="68">
                  <c:v>69.402406146467627</c:v>
                </c:pt>
                <c:pt idx="69">
                  <c:v>43.004222289432789</c:v>
                </c:pt>
                <c:pt idx="70">
                  <c:v>26.218713361203999</c:v>
                </c:pt>
                <c:pt idx="71">
                  <c:v>27.034036671339393</c:v>
                </c:pt>
                <c:pt idx="72">
                  <c:v>30.531518465821172</c:v>
                </c:pt>
                <c:pt idx="73">
                  <c:v>37.646269503558834</c:v>
                </c:pt>
                <c:pt idx="74">
                  <c:v>45.288207816330242</c:v>
                </c:pt>
                <c:pt idx="75">
                  <c:v>55.115558816072287</c:v>
                </c:pt>
                <c:pt idx="76">
                  <c:v>68.767397160283451</c:v>
                </c:pt>
                <c:pt idx="77">
                  <c:v>69.184072841220399</c:v>
                </c:pt>
                <c:pt idx="78">
                  <c:v>75.543189278632696</c:v>
                </c:pt>
                <c:pt idx="79">
                  <c:v>71.973512828891316</c:v>
                </c:pt>
                <c:pt idx="80">
                  <c:v>75.076190339669623</c:v>
                </c:pt>
                <c:pt idx="81">
                  <c:v>79.202655710469941</c:v>
                </c:pt>
                <c:pt idx="82">
                  <c:v>77.88136324948816</c:v>
                </c:pt>
                <c:pt idx="83">
                  <c:v>78.52368788182585</c:v>
                </c:pt>
                <c:pt idx="84">
                  <c:v>75.770302574509657</c:v>
                </c:pt>
                <c:pt idx="85">
                  <c:v>79.819422422733552</c:v>
                </c:pt>
                <c:pt idx="86">
                  <c:v>86.165710652729686</c:v>
                </c:pt>
                <c:pt idx="87">
                  <c:v>79.334400495680583</c:v>
                </c:pt>
                <c:pt idx="88">
                  <c:v>75.8664326069905</c:v>
                </c:pt>
                <c:pt idx="89">
                  <c:v>74.696341433161493</c:v>
                </c:pt>
                <c:pt idx="90">
                  <c:v>76.054675056050158</c:v>
                </c:pt>
                <c:pt idx="91">
                  <c:v>77.599646362204311</c:v>
                </c:pt>
                <c:pt idx="92">
                  <c:v>83.151091383113112</c:v>
                </c:pt>
                <c:pt idx="93">
                  <c:v>87.069362681126691</c:v>
                </c:pt>
                <c:pt idx="94">
                  <c:v>93.654592719458407</c:v>
                </c:pt>
                <c:pt idx="95">
                  <c:v>99.817929770435484</c:v>
                </c:pt>
                <c:pt idx="96">
                  <c:v>107.74619966142723</c:v>
                </c:pt>
                <c:pt idx="97">
                  <c:v>119.20228051098171</c:v>
                </c:pt>
                <c:pt idx="98">
                  <c:v>129.37538117681294</c:v>
                </c:pt>
                <c:pt idx="99">
                  <c:v>123.12254873800521</c:v>
                </c:pt>
                <c:pt idx="100">
                  <c:v>119.03835764461141</c:v>
                </c:pt>
                <c:pt idx="101">
                  <c:v>119.76403722933968</c:v>
                </c:pt>
                <c:pt idx="102">
                  <c:v>112.82426268977417</c:v>
                </c:pt>
                <c:pt idx="103">
                  <c:v>111.81138622571495</c:v>
                </c:pt>
                <c:pt idx="104">
                  <c:v>110.12565757886044</c:v>
                </c:pt>
                <c:pt idx="105">
                  <c:v>110.39205561680946</c:v>
                </c:pt>
                <c:pt idx="106">
                  <c:v>108.01241285394936</c:v>
                </c:pt>
                <c:pt idx="107">
                  <c:v>110.26935304028306</c:v>
                </c:pt>
                <c:pt idx="108">
                  <c:v>118.39167853922476</c:v>
                </c:pt>
                <c:pt idx="109">
                  <c:v>126.03820429488582</c:v>
                </c:pt>
                <c:pt idx="110">
                  <c:v>123.97547651371644</c:v>
                </c:pt>
                <c:pt idx="111">
                  <c:v>113.62521511618577</c:v>
                </c:pt>
                <c:pt idx="112">
                  <c:v>96.13787710421434</c:v>
                </c:pt>
                <c:pt idx="113">
                  <c:v>97.720068688250919</c:v>
                </c:pt>
                <c:pt idx="114">
                  <c:v>109.39082944951157</c:v>
                </c:pt>
                <c:pt idx="115">
                  <c:v>113.53871571754949</c:v>
                </c:pt>
                <c:pt idx="116">
                  <c:v>113.01709375720544</c:v>
                </c:pt>
                <c:pt idx="117">
                  <c:v>110.84761664718739</c:v>
                </c:pt>
                <c:pt idx="118">
                  <c:v>109.70663778462153</c:v>
                </c:pt>
                <c:pt idx="119">
                  <c:v>112.11209926303778</c:v>
                </c:pt>
                <c:pt idx="120">
                  <c:v>116.58174270553009</c:v>
                </c:pt>
                <c:pt idx="121">
                  <c:v>111.39470347511831</c:v>
                </c:pt>
                <c:pt idx="122">
                  <c:v>103.34340998099798</c:v>
                </c:pt>
                <c:pt idx="123">
                  <c:v>100.98700141069497</c:v>
                </c:pt>
                <c:pt idx="124">
                  <c:v>101.10258117866724</c:v>
                </c:pt>
                <c:pt idx="125">
                  <c:v>105.75067009605044</c:v>
                </c:pt>
                <c:pt idx="126">
                  <c:v>110.5739082637497</c:v>
                </c:pt>
                <c:pt idx="127">
                  <c:v>112.89631980304313</c:v>
                </c:pt>
                <c:pt idx="128">
                  <c:v>111.16753016482963</c:v>
                </c:pt>
                <c:pt idx="129">
                  <c:v>108.96870909565841</c:v>
                </c:pt>
                <c:pt idx="130">
                  <c:v>110.88873857867127</c:v>
                </c:pt>
                <c:pt idx="131">
                  <c:v>108.54233589262249</c:v>
                </c:pt>
                <c:pt idx="132">
                  <c:v>108.59037295257258</c:v>
                </c:pt>
                <c:pt idx="133">
                  <c:v>107.75311088994206</c:v>
                </c:pt>
                <c:pt idx="134">
                  <c:v>107.66622004321542</c:v>
                </c:pt>
                <c:pt idx="135">
                  <c:v>109.42081080662076</c:v>
                </c:pt>
                <c:pt idx="136">
                  <c:v>112.25686333306702</c:v>
                </c:pt>
                <c:pt idx="137">
                  <c:v>108.60310768158473</c:v>
                </c:pt>
                <c:pt idx="138">
                  <c:v>102.59373649297291</c:v>
                </c:pt>
                <c:pt idx="139">
                  <c:v>96.597365018278168</c:v>
                </c:pt>
                <c:pt idx="140">
                  <c:v>85.584585011837262</c:v>
                </c:pt>
                <c:pt idx="141">
                  <c:v>75.090082985218942</c:v>
                </c:pt>
                <c:pt idx="142">
                  <c:v>57.773145391399822</c:v>
                </c:pt>
                <c:pt idx="143">
                  <c:v>40.926495708311855</c:v>
                </c:pt>
                <c:pt idx="144">
                  <c:v>46.567878259527447</c:v>
                </c:pt>
                <c:pt idx="145">
                  <c:v>49.103041382873542</c:v>
                </c:pt>
                <c:pt idx="146">
                  <c:v>54.519686421459582</c:v>
                </c:pt>
                <c:pt idx="147">
                  <c:v>62.223513369746122</c:v>
                </c:pt>
                <c:pt idx="148">
                  <c:v>62.661819259011637</c:v>
                </c:pt>
                <c:pt idx="149">
                  <c:v>57.375664082488157</c:v>
                </c:pt>
                <c:pt idx="150">
                  <c:v>47.080069099359505</c:v>
                </c:pt>
                <c:pt idx="151">
                  <c:v>44.711140387873947</c:v>
                </c:pt>
                <c:pt idx="152">
                  <c:v>45.576061706278097</c:v>
                </c:pt>
                <c:pt idx="153">
                  <c:v>42.991506510080981</c:v>
                </c:pt>
                <c:pt idx="154">
                  <c:v>36.584340531577354</c:v>
                </c:pt>
                <c:pt idx="155">
                  <c:v>29.13751475494697</c:v>
                </c:pt>
                <c:pt idx="156">
                  <c:v>29.252081245595896</c:v>
                </c:pt>
                <c:pt idx="157">
                  <c:v>35.891133354661818</c:v>
                </c:pt>
                <c:pt idx="158">
                  <c:v>41.930743344369624</c:v>
                </c:pt>
                <c:pt idx="159">
                  <c:v>48.063581113549795</c:v>
                </c:pt>
                <c:pt idx="160">
                  <c:v>51.736499255950342</c:v>
                </c:pt>
                <c:pt idx="161">
                  <c:v>49.31893262479764</c:v>
                </c:pt>
                <c:pt idx="162">
                  <c:v>48.46198679202957</c:v>
                </c:pt>
                <c:pt idx="163">
                  <c:v>48.214153630140025</c:v>
                </c:pt>
                <c:pt idx="164">
                  <c:v>51.727486214001011</c:v>
                </c:pt>
                <c:pt idx="165">
                  <c:v>48.487971347371023</c:v>
                </c:pt>
                <c:pt idx="166">
                  <c:v>54.767612063473649</c:v>
                </c:pt>
                <c:pt idx="167">
                  <c:v>57.252811706365627</c:v>
                </c:pt>
                <c:pt idx="168">
                  <c:v>57.984076264298579</c:v>
                </c:pt>
                <c:pt idx="169">
                  <c:v>54.571594915051634</c:v>
                </c:pt>
                <c:pt idx="170">
                  <c:v>54.417187330073119</c:v>
                </c:pt>
                <c:pt idx="171">
                  <c:v>51.848757146388436</c:v>
                </c:pt>
                <c:pt idx="172">
                  <c:v>47.542495818622783</c:v>
                </c:pt>
                <c:pt idx="173">
                  <c:v>47.833754682700928</c:v>
                </c:pt>
                <c:pt idx="174">
                  <c:v>50.720534579201775</c:v>
                </c:pt>
                <c:pt idx="175">
                  <c:v>55.191212759516354</c:v>
                </c:pt>
                <c:pt idx="176">
                  <c:v>58.389600205894773</c:v>
                </c:pt>
                <c:pt idx="177">
                  <c:v>64.058795098388558</c:v>
                </c:pt>
                <c:pt idx="178">
                  <c:v>66.552259385782151</c:v>
                </c:pt>
                <c:pt idx="179">
                  <c:v>71.221837890341163</c:v>
                </c:pt>
                <c:pt idx="180">
                  <c:v>69.065280959886167</c:v>
                </c:pt>
                <c:pt idx="181">
                  <c:v>68.833501233410828</c:v>
                </c:pt>
                <c:pt idx="182">
                  <c:v>73.047795578104996</c:v>
                </c:pt>
                <c:pt idx="183">
                  <c:v>78.670785495153012</c:v>
                </c:pt>
                <c:pt idx="184">
                  <c:v>78.83819279006677</c:v>
                </c:pt>
                <c:pt idx="185">
                  <c:v>77.690190518809899</c:v>
                </c:pt>
                <c:pt idx="186">
                  <c:v>75.542590635382538</c:v>
                </c:pt>
                <c:pt idx="187">
                  <c:v>79.518458348564636</c:v>
                </c:pt>
                <c:pt idx="188">
                  <c:v>82.084703192227394</c:v>
                </c:pt>
                <c:pt idx="189">
                  <c:v>68.954102265055354</c:v>
                </c:pt>
                <c:pt idx="190">
                  <c:v>56.898256336628009</c:v>
                </c:pt>
                <c:pt idx="191">
                  <c:v>55.557283765351514</c:v>
                </c:pt>
                <c:pt idx="192">
                  <c:v>60.271422406362795</c:v>
                </c:pt>
                <c:pt idx="193">
                  <c:v>64.894467380641572</c:v>
                </c:pt>
                <c:pt idx="194">
                  <c:v>70.885747904378604</c:v>
                </c:pt>
                <c:pt idx="195">
                  <c:v>71.705911463756323</c:v>
                </c:pt>
                <c:pt idx="196">
                  <c:v>64.954171393642525</c:v>
                </c:pt>
                <c:pt idx="197">
                  <c:v>63.691204459200335</c:v>
                </c:pt>
                <c:pt idx="198">
                  <c:v>59.080638277021208</c:v>
                </c:pt>
                <c:pt idx="199">
                  <c:v>60.509052920361768</c:v>
                </c:pt>
                <c:pt idx="200">
                  <c:v>58.722083295259381</c:v>
                </c:pt>
                <c:pt idx="201">
                  <c:v>61.261500578637644</c:v>
                </c:pt>
                <c:pt idx="202">
                  <c:v>64.777398282751264</c:v>
                </c:pt>
                <c:pt idx="203">
                  <c:v>64.550284554651753</c:v>
                </c:pt>
                <c:pt idx="204">
                  <c:v>56.686992335081946</c:v>
                </c:pt>
                <c:pt idx="205">
                  <c:v>33.947272667391523</c:v>
                </c:pt>
                <c:pt idx="206">
                  <c:v>20.85145703657566</c:v>
                </c:pt>
                <c:pt idx="207">
                  <c:v>23.627818151009734</c:v>
                </c:pt>
                <c:pt idx="208">
                  <c:v>34.203422112507781</c:v>
                </c:pt>
                <c:pt idx="209">
                  <c:v>40.934243357105146</c:v>
                </c:pt>
                <c:pt idx="210">
                  <c:v>45.030087302646024</c:v>
                </c:pt>
                <c:pt idx="211">
                  <c:v>43.264366148037858</c:v>
                </c:pt>
                <c:pt idx="212">
                  <c:v>42.17216262922048</c:v>
                </c:pt>
                <c:pt idx="213">
                  <c:v>44.017448254280765</c:v>
                </c:pt>
                <c:pt idx="214">
                  <c:v>50.452198379677149</c:v>
                </c:pt>
                <c:pt idx="215">
                  <c:v>56.790146696192473</c:v>
                </c:pt>
                <c:pt idx="216">
                  <c:v>64.912579593316423</c:v>
                </c:pt>
                <c:pt idx="217">
                  <c:v>69.873218813652102</c:v>
                </c:pt>
                <c:pt idx="218">
                  <c:v>70.151823003636537</c:v>
                </c:pt>
                <c:pt idx="219">
                  <c:v>71.878555092739461</c:v>
                </c:pt>
                <c:pt idx="220">
                  <c:v>76.400613044315534</c:v>
                </c:pt>
                <c:pt idx="221">
                  <c:v>77.890335171762644</c:v>
                </c:pt>
                <c:pt idx="222">
                  <c:v>73.996757094377543</c:v>
                </c:pt>
                <c:pt idx="223">
                  <c:v>76.028813505789742</c:v>
                </c:pt>
                <c:pt idx="224">
                  <c:v>84.832902220682811</c:v>
                </c:pt>
                <c:pt idx="225">
                  <c:v>84.35358355833273</c:v>
                </c:pt>
                <c:pt idx="226">
                  <c:v>77.668367163901792</c:v>
                </c:pt>
                <c:pt idx="227">
                  <c:v>85.324302913774346</c:v>
                </c:pt>
                <c:pt idx="228">
                  <c:v>95.633129894446796</c:v>
                </c:pt>
                <c:pt idx="229">
                  <c:v>115.22402657543603</c:v>
                </c:pt>
                <c:pt idx="230">
                  <c:v>114.33292532361681</c:v>
                </c:pt>
                <c:pt idx="231">
                  <c:v>117.85820613222781</c:v>
                </c:pt>
                <c:pt idx="232">
                  <c:v>122.81661224701637</c:v>
                </c:pt>
                <c:pt idx="233">
                  <c:v>111.50835107330795</c:v>
                </c:pt>
                <c:pt idx="234">
                  <c:v>99.828975530647639</c:v>
                </c:pt>
                <c:pt idx="235">
                  <c:v>89.465734027733831</c:v>
                </c:pt>
                <c:pt idx="236">
                  <c:v>89.665724153605964</c:v>
                </c:pt>
                <c:pt idx="237">
                  <c:v>88.011066490482051</c:v>
                </c:pt>
                <c:pt idx="238">
                  <c:v>79.374735696619538</c:v>
                </c:pt>
                <c:pt idx="239">
                  <c:v>79.784802475762035</c:v>
                </c:pt>
                <c:pt idx="240">
                  <c:v>80.417280897725277</c:v>
                </c:pt>
                <c:pt idx="241">
                  <c:v>77.214569904171569</c:v>
                </c:pt>
                <c:pt idx="242">
                  <c:v>80.739365413668963</c:v>
                </c:pt>
                <c:pt idx="243">
                  <c:v>75.085365464508655</c:v>
                </c:pt>
                <c:pt idx="244">
                  <c:v>72.89925886497484</c:v>
                </c:pt>
                <c:pt idx="245">
                  <c:v>77.518032781996027</c:v>
                </c:pt>
                <c:pt idx="246">
                  <c:v>84.116325597921247</c:v>
                </c:pt>
                <c:pt idx="247">
                  <c:v>93.225007788274738</c:v>
                </c:pt>
                <c:pt idx="248">
                  <c:v>92.222474110340158</c:v>
                </c:pt>
                <c:pt idx="249">
                  <c:v>84.916979842842551</c:v>
                </c:pt>
                <c:pt idx="250">
                  <c:v>77.909486069028006</c:v>
                </c:pt>
                <c:pt idx="251">
                  <c:v>77.298148658575528</c:v>
                </c:pt>
                <c:pt idx="252">
                  <c:v>80.023791650886338</c:v>
                </c:pt>
                <c:pt idx="253">
                  <c:v>84.138510287148932</c:v>
                </c:pt>
                <c:pt idx="254">
                  <c:v>89.232730193113241</c:v>
                </c:pt>
                <c:pt idx="255">
                  <c:v>85.103492259928345</c:v>
                </c:pt>
                <c:pt idx="256">
                  <c:v>83.354788803340995</c:v>
                </c:pt>
                <c:pt idx="257">
                  <c:v>83.817104546537124</c:v>
                </c:pt>
                <c:pt idx="258">
                  <c:v>79.306616659453653</c:v>
                </c:pt>
                <c:pt idx="259">
                  <c:v>72.398940110843185</c:v>
                </c:pt>
                <c:pt idx="260">
                  <c:v>72.636423919086795</c:v>
                </c:pt>
                <c:pt idx="261">
                  <c:v>71.636290145058354</c:v>
                </c:pt>
                <c:pt idx="262">
                  <c:v>71.496927510720383</c:v>
                </c:pt>
                <c:pt idx="263">
                  <c:v>76.466725702426771</c:v>
                </c:pt>
                <c:pt idx="264">
                  <c:v>75.457800405022638</c:v>
                </c:pt>
                <c:pt idx="265">
                  <c:v>71.893031700153813</c:v>
                </c:pt>
                <c:pt idx="266">
                  <c:v>66.354150115467718</c:v>
                </c:pt>
                <c:pt idx="267">
                  <c:v>62.257711513966505</c:v>
                </c:pt>
                <c:pt idx="268">
                  <c:v>66.858565091020083</c:v>
                </c:pt>
                <c:pt idx="269">
                  <c:v>68.555498724930644</c:v>
                </c:pt>
                <c:pt idx="270">
                  <c:v>67.093408088720025</c:v>
                </c:pt>
                <c:pt idx="271">
                  <c:v>67.050327484082288</c:v>
                </c:pt>
                <c:pt idx="272">
                  <c:v>63.775310818980294</c:v>
                </c:pt>
                <c:pt idx="273">
                  <c:v>62.619303161174194</c:v>
                </c:pt>
                <c:pt idx="274">
                  <c:v>60.767674211332867</c:v>
                </c:pt>
                <c:pt idx="275">
                  <c:v>63.063927404898664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C1-485F-BD2F-D847386CF6DC}"/>
            </c:ext>
          </c:extLst>
        </c:ser>
        <c:ser>
          <c:idx val="2"/>
          <c:order val="2"/>
          <c:tx>
            <c:strRef>
              <c:f>'OilBrent Brown'!$N$6</c:f>
              <c:strCache>
                <c:ptCount val="1"/>
                <c:pt idx="0">
                  <c:v>PRONÓSTICO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'OilBrent Brown'!$B$6:$B$288</c15:sqref>
                  </c15:fullRef>
                </c:ext>
              </c:extLst>
              <c:f>'OilBrent Brown'!$B$7:$B$288</c:f>
              <c:strCache>
                <c:ptCount val="282"/>
                <c:pt idx="0">
                  <c:v>2003-01-01</c:v>
                </c:pt>
                <c:pt idx="1">
                  <c:v>2003-02-01</c:v>
                </c:pt>
                <c:pt idx="2">
                  <c:v>2003-03-01</c:v>
                </c:pt>
                <c:pt idx="3">
                  <c:v>2003-04-01</c:v>
                </c:pt>
                <c:pt idx="4">
                  <c:v>2003-05-01</c:v>
                </c:pt>
                <c:pt idx="5">
                  <c:v>2003-06-01</c:v>
                </c:pt>
                <c:pt idx="6">
                  <c:v>2003-07-01</c:v>
                </c:pt>
                <c:pt idx="7">
                  <c:v>2003-08-01</c:v>
                </c:pt>
                <c:pt idx="8">
                  <c:v>2003-09-01</c:v>
                </c:pt>
                <c:pt idx="9">
                  <c:v>2003-10-01</c:v>
                </c:pt>
                <c:pt idx="10">
                  <c:v>2003-11-01</c:v>
                </c:pt>
                <c:pt idx="11">
                  <c:v>2003-12-01</c:v>
                </c:pt>
                <c:pt idx="12">
                  <c:v>2004-01-01</c:v>
                </c:pt>
                <c:pt idx="13">
                  <c:v>2004-02-01</c:v>
                </c:pt>
                <c:pt idx="14">
                  <c:v>2004-03-01</c:v>
                </c:pt>
                <c:pt idx="15">
                  <c:v>2004-04-01</c:v>
                </c:pt>
                <c:pt idx="16">
                  <c:v>2004-05-01</c:v>
                </c:pt>
                <c:pt idx="17">
                  <c:v>2004-06-01</c:v>
                </c:pt>
                <c:pt idx="18">
                  <c:v>2004-07-01</c:v>
                </c:pt>
                <c:pt idx="19">
                  <c:v>2004-08-01</c:v>
                </c:pt>
                <c:pt idx="20">
                  <c:v>2004-09-01</c:v>
                </c:pt>
                <c:pt idx="21">
                  <c:v>2004-10-01</c:v>
                </c:pt>
                <c:pt idx="22">
                  <c:v>2004-11-01</c:v>
                </c:pt>
                <c:pt idx="23">
                  <c:v>2004-12-01</c:v>
                </c:pt>
                <c:pt idx="24">
                  <c:v>2005-01-01</c:v>
                </c:pt>
                <c:pt idx="25">
                  <c:v>2005-02-01</c:v>
                </c:pt>
                <c:pt idx="26">
                  <c:v>2005-03-01</c:v>
                </c:pt>
                <c:pt idx="27">
                  <c:v>2005-04-01</c:v>
                </c:pt>
                <c:pt idx="28">
                  <c:v>2005-05-01</c:v>
                </c:pt>
                <c:pt idx="29">
                  <c:v>2005-06-01</c:v>
                </c:pt>
                <c:pt idx="30">
                  <c:v>2005-07-01</c:v>
                </c:pt>
                <c:pt idx="31">
                  <c:v>2005-08-01</c:v>
                </c:pt>
                <c:pt idx="32">
                  <c:v>2005-09-01</c:v>
                </c:pt>
                <c:pt idx="33">
                  <c:v>2005-10-01</c:v>
                </c:pt>
                <c:pt idx="34">
                  <c:v>2005-11-01</c:v>
                </c:pt>
                <c:pt idx="35">
                  <c:v>2005-12-01</c:v>
                </c:pt>
                <c:pt idx="36">
                  <c:v>2006-01-01</c:v>
                </c:pt>
                <c:pt idx="37">
                  <c:v>2006-02-01</c:v>
                </c:pt>
                <c:pt idx="38">
                  <c:v>2006-03-01</c:v>
                </c:pt>
                <c:pt idx="39">
                  <c:v>2006-04-01</c:v>
                </c:pt>
                <c:pt idx="40">
                  <c:v>2006-05-01</c:v>
                </c:pt>
                <c:pt idx="41">
                  <c:v>2006-06-01</c:v>
                </c:pt>
                <c:pt idx="42">
                  <c:v>2006-07-01</c:v>
                </c:pt>
                <c:pt idx="43">
                  <c:v>2006-08-01</c:v>
                </c:pt>
                <c:pt idx="44">
                  <c:v>2006-09-01</c:v>
                </c:pt>
                <c:pt idx="45">
                  <c:v>2006-10-01</c:v>
                </c:pt>
                <c:pt idx="46">
                  <c:v>2006-11-01</c:v>
                </c:pt>
                <c:pt idx="47">
                  <c:v>2006-12-01</c:v>
                </c:pt>
                <c:pt idx="48">
                  <c:v>2007-01-01</c:v>
                </c:pt>
                <c:pt idx="49">
                  <c:v>2007-02-01</c:v>
                </c:pt>
                <c:pt idx="50">
                  <c:v>2007-03-01</c:v>
                </c:pt>
                <c:pt idx="51">
                  <c:v>2007-04-01</c:v>
                </c:pt>
                <c:pt idx="52">
                  <c:v>2007-05-01</c:v>
                </c:pt>
                <c:pt idx="53">
                  <c:v>2007-06-01</c:v>
                </c:pt>
                <c:pt idx="54">
                  <c:v>2007-07-01</c:v>
                </c:pt>
                <c:pt idx="55">
                  <c:v>2007-08-01</c:v>
                </c:pt>
                <c:pt idx="56">
                  <c:v>2007-09-01</c:v>
                </c:pt>
                <c:pt idx="57">
                  <c:v>2007-10-01</c:v>
                </c:pt>
                <c:pt idx="58">
                  <c:v>2007-11-01</c:v>
                </c:pt>
                <c:pt idx="59">
                  <c:v>2007-12-01</c:v>
                </c:pt>
                <c:pt idx="60">
                  <c:v>2008-01-01</c:v>
                </c:pt>
                <c:pt idx="61">
                  <c:v>2008-02-01</c:v>
                </c:pt>
                <c:pt idx="62">
                  <c:v>2008-03-01</c:v>
                </c:pt>
                <c:pt idx="63">
                  <c:v>2008-04-01</c:v>
                </c:pt>
                <c:pt idx="64">
                  <c:v>2008-05-01</c:v>
                </c:pt>
                <c:pt idx="65">
                  <c:v>2008-06-01</c:v>
                </c:pt>
                <c:pt idx="66">
                  <c:v>2008-07-01</c:v>
                </c:pt>
                <c:pt idx="67">
                  <c:v>2008-08-01</c:v>
                </c:pt>
                <c:pt idx="68">
                  <c:v>2008-09-01</c:v>
                </c:pt>
                <c:pt idx="69">
                  <c:v>2008-10-01</c:v>
                </c:pt>
                <c:pt idx="70">
                  <c:v>2008-11-01</c:v>
                </c:pt>
                <c:pt idx="71">
                  <c:v>2008-12-01</c:v>
                </c:pt>
                <c:pt idx="72">
                  <c:v>2009-01-01</c:v>
                </c:pt>
                <c:pt idx="73">
                  <c:v>2009-02-01</c:v>
                </c:pt>
                <c:pt idx="74">
                  <c:v>2009-03-01</c:v>
                </c:pt>
                <c:pt idx="75">
                  <c:v>2009-04-01</c:v>
                </c:pt>
                <c:pt idx="76">
                  <c:v>2009-05-01</c:v>
                </c:pt>
                <c:pt idx="77">
                  <c:v>2009-06-01</c:v>
                </c:pt>
                <c:pt idx="78">
                  <c:v>2009-07-01</c:v>
                </c:pt>
                <c:pt idx="79">
                  <c:v>2009-08-01</c:v>
                </c:pt>
                <c:pt idx="80">
                  <c:v>2009-09-01</c:v>
                </c:pt>
                <c:pt idx="81">
                  <c:v>2009-10-01</c:v>
                </c:pt>
                <c:pt idx="82">
                  <c:v>2009-11-01</c:v>
                </c:pt>
                <c:pt idx="83">
                  <c:v>2009-12-01</c:v>
                </c:pt>
                <c:pt idx="84">
                  <c:v>2010-01-01</c:v>
                </c:pt>
                <c:pt idx="85">
                  <c:v>2010-02-01</c:v>
                </c:pt>
                <c:pt idx="86">
                  <c:v>2010-03-01</c:v>
                </c:pt>
                <c:pt idx="87">
                  <c:v>2010-04-01</c:v>
                </c:pt>
                <c:pt idx="88">
                  <c:v>2010-05-01</c:v>
                </c:pt>
                <c:pt idx="89">
                  <c:v>2010-06-01</c:v>
                </c:pt>
                <c:pt idx="90">
                  <c:v>2010-07-01</c:v>
                </c:pt>
                <c:pt idx="91">
                  <c:v>2010-08-01</c:v>
                </c:pt>
                <c:pt idx="92">
                  <c:v>2010-09-01</c:v>
                </c:pt>
                <c:pt idx="93">
                  <c:v>2010-10-01</c:v>
                </c:pt>
                <c:pt idx="94">
                  <c:v>2010-11-01</c:v>
                </c:pt>
                <c:pt idx="95">
                  <c:v>2010-12-01</c:v>
                </c:pt>
                <c:pt idx="96">
                  <c:v>2011-01-01</c:v>
                </c:pt>
                <c:pt idx="97">
                  <c:v>2011-02-01</c:v>
                </c:pt>
                <c:pt idx="98">
                  <c:v>2011-03-01</c:v>
                </c:pt>
                <c:pt idx="99">
                  <c:v>2011-04-01</c:v>
                </c:pt>
                <c:pt idx="100">
                  <c:v>2011-05-01</c:v>
                </c:pt>
                <c:pt idx="101">
                  <c:v>2011-06-01</c:v>
                </c:pt>
                <c:pt idx="102">
                  <c:v>2011-07-01</c:v>
                </c:pt>
                <c:pt idx="103">
                  <c:v>2011-08-01</c:v>
                </c:pt>
                <c:pt idx="104">
                  <c:v>2011-09-01</c:v>
                </c:pt>
                <c:pt idx="105">
                  <c:v>2011-10-01</c:v>
                </c:pt>
                <c:pt idx="106">
                  <c:v>2011-11-01</c:v>
                </c:pt>
                <c:pt idx="107">
                  <c:v>2011-12-01</c:v>
                </c:pt>
                <c:pt idx="108">
                  <c:v>2012-01-01</c:v>
                </c:pt>
                <c:pt idx="109">
                  <c:v>2012-02-01</c:v>
                </c:pt>
                <c:pt idx="110">
                  <c:v>2012-03-01</c:v>
                </c:pt>
                <c:pt idx="111">
                  <c:v>2012-04-01</c:v>
                </c:pt>
                <c:pt idx="112">
                  <c:v>2012-05-01</c:v>
                </c:pt>
                <c:pt idx="113">
                  <c:v>2012-06-01</c:v>
                </c:pt>
                <c:pt idx="114">
                  <c:v>2012-07-01</c:v>
                </c:pt>
                <c:pt idx="115">
                  <c:v>2012-08-01</c:v>
                </c:pt>
                <c:pt idx="116">
                  <c:v>2012-09-01</c:v>
                </c:pt>
                <c:pt idx="117">
                  <c:v>2012-10-01</c:v>
                </c:pt>
                <c:pt idx="118">
                  <c:v>2012-11-01</c:v>
                </c:pt>
                <c:pt idx="119">
                  <c:v>2012-12-01</c:v>
                </c:pt>
                <c:pt idx="120">
                  <c:v>2013-01-01</c:v>
                </c:pt>
                <c:pt idx="121">
                  <c:v>2013-02-01</c:v>
                </c:pt>
                <c:pt idx="122">
                  <c:v>2013-03-01</c:v>
                </c:pt>
                <c:pt idx="123">
                  <c:v>2013-04-01</c:v>
                </c:pt>
                <c:pt idx="124">
                  <c:v>2013-05-01</c:v>
                </c:pt>
                <c:pt idx="125">
                  <c:v>2013-06-01</c:v>
                </c:pt>
                <c:pt idx="126">
                  <c:v>2013-07-01</c:v>
                </c:pt>
                <c:pt idx="127">
                  <c:v>2013-08-01</c:v>
                </c:pt>
                <c:pt idx="128">
                  <c:v>2013-09-01</c:v>
                </c:pt>
                <c:pt idx="129">
                  <c:v>2013-10-01</c:v>
                </c:pt>
                <c:pt idx="130">
                  <c:v>2013-11-01</c:v>
                </c:pt>
                <c:pt idx="131">
                  <c:v>2013-12-01</c:v>
                </c:pt>
                <c:pt idx="132">
                  <c:v>2014-01-01</c:v>
                </c:pt>
                <c:pt idx="133">
                  <c:v>2014-02-01</c:v>
                </c:pt>
                <c:pt idx="134">
                  <c:v>2014-03-01</c:v>
                </c:pt>
                <c:pt idx="135">
                  <c:v>2014-04-01</c:v>
                </c:pt>
                <c:pt idx="136">
                  <c:v>2014-05-01</c:v>
                </c:pt>
                <c:pt idx="137">
                  <c:v>2014-06-01</c:v>
                </c:pt>
                <c:pt idx="138">
                  <c:v>2014-07-01</c:v>
                </c:pt>
                <c:pt idx="139">
                  <c:v>2014-08-01</c:v>
                </c:pt>
                <c:pt idx="140">
                  <c:v>2014-09-01</c:v>
                </c:pt>
                <c:pt idx="141">
                  <c:v>2014-10-01</c:v>
                </c:pt>
                <c:pt idx="142">
                  <c:v>2014-11-01</c:v>
                </c:pt>
                <c:pt idx="143">
                  <c:v>2014-12-01</c:v>
                </c:pt>
                <c:pt idx="144">
                  <c:v>2015-01-01</c:v>
                </c:pt>
                <c:pt idx="145">
                  <c:v>2015-02-01</c:v>
                </c:pt>
                <c:pt idx="146">
                  <c:v>2015-03-01</c:v>
                </c:pt>
                <c:pt idx="147">
                  <c:v>2015-04-01</c:v>
                </c:pt>
                <c:pt idx="148">
                  <c:v>2015-05-01</c:v>
                </c:pt>
                <c:pt idx="149">
                  <c:v>2015-06-01</c:v>
                </c:pt>
                <c:pt idx="150">
                  <c:v>2015-07-01</c:v>
                </c:pt>
                <c:pt idx="151">
                  <c:v>2015-08-01</c:v>
                </c:pt>
                <c:pt idx="152">
                  <c:v>2015-09-01</c:v>
                </c:pt>
                <c:pt idx="153">
                  <c:v>2015-10-01</c:v>
                </c:pt>
                <c:pt idx="154">
                  <c:v>2015-11-01</c:v>
                </c:pt>
                <c:pt idx="155">
                  <c:v>2015-12-01</c:v>
                </c:pt>
                <c:pt idx="156">
                  <c:v>2016-01-01</c:v>
                </c:pt>
                <c:pt idx="157">
                  <c:v>2016-02-01</c:v>
                </c:pt>
                <c:pt idx="158">
                  <c:v>2016-03-01</c:v>
                </c:pt>
                <c:pt idx="159">
                  <c:v>2016-04-01</c:v>
                </c:pt>
                <c:pt idx="160">
                  <c:v>2016-05-01</c:v>
                </c:pt>
                <c:pt idx="161">
                  <c:v>2016-06-01</c:v>
                </c:pt>
                <c:pt idx="162">
                  <c:v>2016-07-01</c:v>
                </c:pt>
                <c:pt idx="163">
                  <c:v>2016-08-01</c:v>
                </c:pt>
                <c:pt idx="164">
                  <c:v>2016-09-01</c:v>
                </c:pt>
                <c:pt idx="165">
                  <c:v>2016-10-01</c:v>
                </c:pt>
                <c:pt idx="166">
                  <c:v>2016-11-01</c:v>
                </c:pt>
                <c:pt idx="167">
                  <c:v>2016-12-01</c:v>
                </c:pt>
                <c:pt idx="168">
                  <c:v>2017-01-01</c:v>
                </c:pt>
                <c:pt idx="169">
                  <c:v>2017-02-01</c:v>
                </c:pt>
                <c:pt idx="170">
                  <c:v>2017-03-01</c:v>
                </c:pt>
                <c:pt idx="171">
                  <c:v>2017-04-01</c:v>
                </c:pt>
                <c:pt idx="172">
                  <c:v>2017-05-01</c:v>
                </c:pt>
                <c:pt idx="173">
                  <c:v>2017-06-01</c:v>
                </c:pt>
                <c:pt idx="174">
                  <c:v>2017-07-01</c:v>
                </c:pt>
                <c:pt idx="175">
                  <c:v>2017-08-01</c:v>
                </c:pt>
                <c:pt idx="176">
                  <c:v>2017-09-01</c:v>
                </c:pt>
                <c:pt idx="177">
                  <c:v>2017-10-01</c:v>
                </c:pt>
                <c:pt idx="178">
                  <c:v>2017-11-01</c:v>
                </c:pt>
                <c:pt idx="179">
                  <c:v>2017-12-01</c:v>
                </c:pt>
                <c:pt idx="180">
                  <c:v>2018-01-01</c:v>
                </c:pt>
                <c:pt idx="181">
                  <c:v>2018-02-01</c:v>
                </c:pt>
                <c:pt idx="182">
                  <c:v>2018-03-01</c:v>
                </c:pt>
                <c:pt idx="183">
                  <c:v>2018-04-01</c:v>
                </c:pt>
                <c:pt idx="184">
                  <c:v>2018-05-01</c:v>
                </c:pt>
                <c:pt idx="185">
                  <c:v>2018-06-01</c:v>
                </c:pt>
                <c:pt idx="186">
                  <c:v>2018-07-01</c:v>
                </c:pt>
                <c:pt idx="187">
                  <c:v>2018-08-01</c:v>
                </c:pt>
                <c:pt idx="188">
                  <c:v>2018-09-01</c:v>
                </c:pt>
                <c:pt idx="189">
                  <c:v>2018-10-01</c:v>
                </c:pt>
                <c:pt idx="190">
                  <c:v>2018-11-01</c:v>
                </c:pt>
                <c:pt idx="191">
                  <c:v>2018-12-01</c:v>
                </c:pt>
                <c:pt idx="192">
                  <c:v>2019-01-01</c:v>
                </c:pt>
                <c:pt idx="193">
                  <c:v>2019-02-01</c:v>
                </c:pt>
                <c:pt idx="194">
                  <c:v>2019-03-01</c:v>
                </c:pt>
                <c:pt idx="195">
                  <c:v>2019-04-01</c:v>
                </c:pt>
                <c:pt idx="196">
                  <c:v>2019-05-01</c:v>
                </c:pt>
                <c:pt idx="197">
                  <c:v>2019-06-01</c:v>
                </c:pt>
                <c:pt idx="198">
                  <c:v>2019-07-01</c:v>
                </c:pt>
                <c:pt idx="199">
                  <c:v>2019-08-01</c:v>
                </c:pt>
                <c:pt idx="200">
                  <c:v>2019-09-01</c:v>
                </c:pt>
                <c:pt idx="201">
                  <c:v>2019-10-01</c:v>
                </c:pt>
                <c:pt idx="202">
                  <c:v>2019-11-01</c:v>
                </c:pt>
                <c:pt idx="203">
                  <c:v>2019-12-01</c:v>
                </c:pt>
                <c:pt idx="204">
                  <c:v>2020-01-01</c:v>
                </c:pt>
                <c:pt idx="205">
                  <c:v>2020-02-01</c:v>
                </c:pt>
                <c:pt idx="206">
                  <c:v>2020-03-01</c:v>
                </c:pt>
                <c:pt idx="207">
                  <c:v>2020-04-01</c:v>
                </c:pt>
                <c:pt idx="208">
                  <c:v>2020-05-01</c:v>
                </c:pt>
                <c:pt idx="209">
                  <c:v>2020-06-01</c:v>
                </c:pt>
                <c:pt idx="210">
                  <c:v>2020-07-01</c:v>
                </c:pt>
                <c:pt idx="211">
                  <c:v>2020-08-01</c:v>
                </c:pt>
                <c:pt idx="212">
                  <c:v>2020-09-01</c:v>
                </c:pt>
                <c:pt idx="213">
                  <c:v>2020-10-01</c:v>
                </c:pt>
                <c:pt idx="214">
                  <c:v>2020-11-01</c:v>
                </c:pt>
                <c:pt idx="215">
                  <c:v>2020-12-01</c:v>
                </c:pt>
                <c:pt idx="216">
                  <c:v>2021-01-01</c:v>
                </c:pt>
                <c:pt idx="217">
                  <c:v>2021-02-01</c:v>
                </c:pt>
                <c:pt idx="218">
                  <c:v>2021-03-01</c:v>
                </c:pt>
                <c:pt idx="219">
                  <c:v>2021-04-01</c:v>
                </c:pt>
                <c:pt idx="220">
                  <c:v>2021-05-01</c:v>
                </c:pt>
                <c:pt idx="221">
                  <c:v>2021-06-01</c:v>
                </c:pt>
                <c:pt idx="222">
                  <c:v>2021-07-01</c:v>
                </c:pt>
                <c:pt idx="223">
                  <c:v>2021-08-01</c:v>
                </c:pt>
                <c:pt idx="224">
                  <c:v>2021-09-01</c:v>
                </c:pt>
                <c:pt idx="225">
                  <c:v>2021-10-01</c:v>
                </c:pt>
                <c:pt idx="226">
                  <c:v>2021-11-01</c:v>
                </c:pt>
                <c:pt idx="227">
                  <c:v>2021-12-01</c:v>
                </c:pt>
                <c:pt idx="228">
                  <c:v>2022-01-01</c:v>
                </c:pt>
                <c:pt idx="229">
                  <c:v>2022-02-01</c:v>
                </c:pt>
                <c:pt idx="230">
                  <c:v>2022-03-01</c:v>
                </c:pt>
                <c:pt idx="231">
                  <c:v>2022-04-01</c:v>
                </c:pt>
                <c:pt idx="232">
                  <c:v>2022-05-01</c:v>
                </c:pt>
                <c:pt idx="233">
                  <c:v>2022-06-01</c:v>
                </c:pt>
                <c:pt idx="234">
                  <c:v>2022-07-01</c:v>
                </c:pt>
                <c:pt idx="235">
                  <c:v>2022-08-01</c:v>
                </c:pt>
                <c:pt idx="236">
                  <c:v>2022-09-01</c:v>
                </c:pt>
                <c:pt idx="237">
                  <c:v>2022-10-01</c:v>
                </c:pt>
                <c:pt idx="238">
                  <c:v>2022-11-01</c:v>
                </c:pt>
                <c:pt idx="239">
                  <c:v>2022-12-01</c:v>
                </c:pt>
                <c:pt idx="240">
                  <c:v>2023-01-01</c:v>
                </c:pt>
                <c:pt idx="241">
                  <c:v>2023-02-01</c:v>
                </c:pt>
                <c:pt idx="242">
                  <c:v>2023-03-01</c:v>
                </c:pt>
                <c:pt idx="243">
                  <c:v>2023-04-01</c:v>
                </c:pt>
                <c:pt idx="244">
                  <c:v>2023-05-01</c:v>
                </c:pt>
                <c:pt idx="245">
                  <c:v>2023-06-01</c:v>
                </c:pt>
                <c:pt idx="246">
                  <c:v>2023-07-01</c:v>
                </c:pt>
                <c:pt idx="247">
                  <c:v>2023-08-01</c:v>
                </c:pt>
                <c:pt idx="248">
                  <c:v>2023-09-01</c:v>
                </c:pt>
                <c:pt idx="249">
                  <c:v>2023-10-01</c:v>
                </c:pt>
                <c:pt idx="250">
                  <c:v>2023-11-01</c:v>
                </c:pt>
                <c:pt idx="251">
                  <c:v>2023-12-01</c:v>
                </c:pt>
                <c:pt idx="252">
                  <c:v>2024-01-01</c:v>
                </c:pt>
                <c:pt idx="253">
                  <c:v>2024-02-01</c:v>
                </c:pt>
                <c:pt idx="254">
                  <c:v>2024-03-01</c:v>
                </c:pt>
                <c:pt idx="255">
                  <c:v>2024-04-01</c:v>
                </c:pt>
                <c:pt idx="256">
                  <c:v>2024-05-01</c:v>
                </c:pt>
                <c:pt idx="257">
                  <c:v>2024-06-01</c:v>
                </c:pt>
                <c:pt idx="258">
                  <c:v>2024-07-01</c:v>
                </c:pt>
                <c:pt idx="259">
                  <c:v>2024-08-01</c:v>
                </c:pt>
                <c:pt idx="260">
                  <c:v>2024-09-01</c:v>
                </c:pt>
                <c:pt idx="261">
                  <c:v>2024-10-01</c:v>
                </c:pt>
                <c:pt idx="262">
                  <c:v>2024-11-01</c:v>
                </c:pt>
                <c:pt idx="263">
                  <c:v>2024-12-01</c:v>
                </c:pt>
                <c:pt idx="264">
                  <c:v>2025-01-01</c:v>
                </c:pt>
                <c:pt idx="265">
                  <c:v>2025-02-01</c:v>
                </c:pt>
                <c:pt idx="266">
                  <c:v>2025-03-01</c:v>
                </c:pt>
                <c:pt idx="267">
                  <c:v>2025-04-01</c:v>
                </c:pt>
                <c:pt idx="268">
                  <c:v>2025-05-01</c:v>
                </c:pt>
                <c:pt idx="269">
                  <c:v>2025-06-01</c:v>
                </c:pt>
                <c:pt idx="270">
                  <c:v>2025-07-01</c:v>
                </c:pt>
                <c:pt idx="271">
                  <c:v>2025-08-01</c:v>
                </c:pt>
                <c:pt idx="272">
                  <c:v>2025-09-01</c:v>
                </c:pt>
                <c:pt idx="273">
                  <c:v>2025-10-01</c:v>
                </c:pt>
                <c:pt idx="274">
                  <c:v>2025-11-01</c:v>
                </c:pt>
                <c:pt idx="275">
                  <c:v>2025-12-01</c:v>
                </c:pt>
                <c:pt idx="276">
                  <c:v>2026-01-01</c:v>
                </c:pt>
                <c:pt idx="277">
                  <c:v>2026-02-01</c:v>
                </c:pt>
                <c:pt idx="278">
                  <c:v>2026-03-01</c:v>
                </c:pt>
                <c:pt idx="279">
                  <c:v>2026-04-01</c:v>
                </c:pt>
                <c:pt idx="280">
                  <c:v>2026-05-01</c:v>
                </c:pt>
                <c:pt idx="281">
                  <c:v>2026-06-01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'OilBrent Brown'!$N$7:$N$288</c15:sqref>
                  </c15:fullRef>
                </c:ext>
              </c:extLst>
              <c:f>'OilBrent Brown'!$N$8:$N$288</c:f>
              <c:numCache>
                <c:formatCode>General</c:formatCode>
                <c:ptCount val="281"/>
                <c:pt idx="275">
                  <c:v>63.063927404898664</c:v>
                </c:pt>
                <c:pt idx="276">
                  <c:v>62.62307343435463</c:v>
                </c:pt>
                <c:pt idx="277">
                  <c:v>62.182219463810604</c:v>
                </c:pt>
                <c:pt idx="278">
                  <c:v>61.741365493266571</c:v>
                </c:pt>
                <c:pt idx="279">
                  <c:v>61.300511522722545</c:v>
                </c:pt>
                <c:pt idx="280">
                  <c:v>60.859657552178518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C1-485F-BD2F-D847386CF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160824"/>
        <c:axId val="544158304"/>
      </c:lineChart>
      <c:dateAx>
        <c:axId val="54416082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4158304"/>
        <c:crosses val="autoZero"/>
        <c:auto val="1"/>
        <c:lblOffset val="100"/>
        <c:baseTimeUnit val="months"/>
      </c:dateAx>
      <c:valAx>
        <c:axId val="54415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4160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'OilBrent Holt'!$C$6</c:f>
              <c:strCache>
                <c:ptCount val="1"/>
                <c:pt idx="0">
                  <c:v>OilBrent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'OilBrent Holt'!$B$7:$B$288</c:f>
              <c:numCache>
                <c:formatCode>yyyy\-mm\-dd</c:formatCode>
                <c:ptCount val="282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  <c:pt idx="36">
                  <c:v>38718</c:v>
                </c:pt>
                <c:pt idx="37">
                  <c:v>38749</c:v>
                </c:pt>
                <c:pt idx="38">
                  <c:v>38777</c:v>
                </c:pt>
                <c:pt idx="39">
                  <c:v>38808</c:v>
                </c:pt>
                <c:pt idx="40">
                  <c:v>38838</c:v>
                </c:pt>
                <c:pt idx="41">
                  <c:v>38869</c:v>
                </c:pt>
                <c:pt idx="42">
                  <c:v>38899</c:v>
                </c:pt>
                <c:pt idx="43">
                  <c:v>38930</c:v>
                </c:pt>
                <c:pt idx="44">
                  <c:v>38961</c:v>
                </c:pt>
                <c:pt idx="45">
                  <c:v>38991</c:v>
                </c:pt>
                <c:pt idx="46">
                  <c:v>39022</c:v>
                </c:pt>
                <c:pt idx="47">
                  <c:v>39052</c:v>
                </c:pt>
                <c:pt idx="48">
                  <c:v>39083</c:v>
                </c:pt>
                <c:pt idx="49">
                  <c:v>39114</c:v>
                </c:pt>
                <c:pt idx="50">
                  <c:v>39142</c:v>
                </c:pt>
                <c:pt idx="51">
                  <c:v>39173</c:v>
                </c:pt>
                <c:pt idx="52">
                  <c:v>39203</c:v>
                </c:pt>
                <c:pt idx="53">
                  <c:v>39234</c:v>
                </c:pt>
                <c:pt idx="54">
                  <c:v>39264</c:v>
                </c:pt>
                <c:pt idx="55">
                  <c:v>39295</c:v>
                </c:pt>
                <c:pt idx="56">
                  <c:v>39326</c:v>
                </c:pt>
                <c:pt idx="57">
                  <c:v>39356</c:v>
                </c:pt>
                <c:pt idx="58">
                  <c:v>39387</c:v>
                </c:pt>
                <c:pt idx="59">
                  <c:v>39417</c:v>
                </c:pt>
                <c:pt idx="60">
                  <c:v>39448</c:v>
                </c:pt>
                <c:pt idx="61">
                  <c:v>39479</c:v>
                </c:pt>
                <c:pt idx="62">
                  <c:v>39508</c:v>
                </c:pt>
                <c:pt idx="63">
                  <c:v>39539</c:v>
                </c:pt>
                <c:pt idx="64">
                  <c:v>39569</c:v>
                </c:pt>
                <c:pt idx="65">
                  <c:v>39600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39753</c:v>
                </c:pt>
                <c:pt idx="71">
                  <c:v>39783</c:v>
                </c:pt>
                <c:pt idx="72">
                  <c:v>39814</c:v>
                </c:pt>
                <c:pt idx="73">
                  <c:v>39845</c:v>
                </c:pt>
                <c:pt idx="74">
                  <c:v>39873</c:v>
                </c:pt>
                <c:pt idx="75">
                  <c:v>39904</c:v>
                </c:pt>
                <c:pt idx="76">
                  <c:v>39934</c:v>
                </c:pt>
                <c:pt idx="77">
                  <c:v>39965</c:v>
                </c:pt>
                <c:pt idx="78">
                  <c:v>39995</c:v>
                </c:pt>
                <c:pt idx="79">
                  <c:v>40026</c:v>
                </c:pt>
                <c:pt idx="80">
                  <c:v>40057</c:v>
                </c:pt>
                <c:pt idx="81">
                  <c:v>40087</c:v>
                </c:pt>
                <c:pt idx="82">
                  <c:v>40118</c:v>
                </c:pt>
                <c:pt idx="83">
                  <c:v>40148</c:v>
                </c:pt>
                <c:pt idx="84">
                  <c:v>40179</c:v>
                </c:pt>
                <c:pt idx="85">
                  <c:v>40210</c:v>
                </c:pt>
                <c:pt idx="86">
                  <c:v>40238</c:v>
                </c:pt>
                <c:pt idx="87">
                  <c:v>40269</c:v>
                </c:pt>
                <c:pt idx="88">
                  <c:v>40299</c:v>
                </c:pt>
                <c:pt idx="89">
                  <c:v>40330</c:v>
                </c:pt>
                <c:pt idx="90">
                  <c:v>40360</c:v>
                </c:pt>
                <c:pt idx="91">
                  <c:v>40391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40544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40664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40817</c:v>
                </c:pt>
                <c:pt idx="106">
                  <c:v>40848</c:v>
                </c:pt>
                <c:pt idx="107">
                  <c:v>40878</c:v>
                </c:pt>
                <c:pt idx="108">
                  <c:v>40909</c:v>
                </c:pt>
                <c:pt idx="109">
                  <c:v>40940</c:v>
                </c:pt>
                <c:pt idx="110">
                  <c:v>40969</c:v>
                </c:pt>
                <c:pt idx="111">
                  <c:v>41000</c:v>
                </c:pt>
                <c:pt idx="112">
                  <c:v>41030</c:v>
                </c:pt>
                <c:pt idx="113">
                  <c:v>41061</c:v>
                </c:pt>
                <c:pt idx="114">
                  <c:v>41091</c:v>
                </c:pt>
                <c:pt idx="115">
                  <c:v>41122</c:v>
                </c:pt>
                <c:pt idx="116">
                  <c:v>41153</c:v>
                </c:pt>
                <c:pt idx="117">
                  <c:v>41183</c:v>
                </c:pt>
                <c:pt idx="118">
                  <c:v>41214</c:v>
                </c:pt>
                <c:pt idx="119">
                  <c:v>41244</c:v>
                </c:pt>
                <c:pt idx="120">
                  <c:v>41275</c:v>
                </c:pt>
                <c:pt idx="121">
                  <c:v>41306</c:v>
                </c:pt>
                <c:pt idx="122">
                  <c:v>41334</c:v>
                </c:pt>
                <c:pt idx="123">
                  <c:v>41365</c:v>
                </c:pt>
                <c:pt idx="124">
                  <c:v>41395</c:v>
                </c:pt>
                <c:pt idx="125">
                  <c:v>41426</c:v>
                </c:pt>
                <c:pt idx="126">
                  <c:v>41456</c:v>
                </c:pt>
                <c:pt idx="127">
                  <c:v>41487</c:v>
                </c:pt>
                <c:pt idx="128">
                  <c:v>41518</c:v>
                </c:pt>
                <c:pt idx="129">
                  <c:v>41548</c:v>
                </c:pt>
                <c:pt idx="130">
                  <c:v>41579</c:v>
                </c:pt>
                <c:pt idx="131">
                  <c:v>41609</c:v>
                </c:pt>
                <c:pt idx="132">
                  <c:v>41640</c:v>
                </c:pt>
                <c:pt idx="133">
                  <c:v>41671</c:v>
                </c:pt>
                <c:pt idx="134">
                  <c:v>41699</c:v>
                </c:pt>
                <c:pt idx="135">
                  <c:v>41730</c:v>
                </c:pt>
                <c:pt idx="136">
                  <c:v>41760</c:v>
                </c:pt>
                <c:pt idx="137">
                  <c:v>41791</c:v>
                </c:pt>
                <c:pt idx="138">
                  <c:v>41821</c:v>
                </c:pt>
                <c:pt idx="139">
                  <c:v>41852</c:v>
                </c:pt>
                <c:pt idx="140">
                  <c:v>41883</c:v>
                </c:pt>
                <c:pt idx="141">
                  <c:v>41913</c:v>
                </c:pt>
                <c:pt idx="142">
                  <c:v>41944</c:v>
                </c:pt>
                <c:pt idx="143">
                  <c:v>41974</c:v>
                </c:pt>
                <c:pt idx="144">
                  <c:v>42005</c:v>
                </c:pt>
                <c:pt idx="145">
                  <c:v>42036</c:v>
                </c:pt>
                <c:pt idx="146">
                  <c:v>42064</c:v>
                </c:pt>
                <c:pt idx="147">
                  <c:v>42095</c:v>
                </c:pt>
                <c:pt idx="148">
                  <c:v>42125</c:v>
                </c:pt>
                <c:pt idx="149">
                  <c:v>42156</c:v>
                </c:pt>
                <c:pt idx="150">
                  <c:v>42186</c:v>
                </c:pt>
                <c:pt idx="151">
                  <c:v>42217</c:v>
                </c:pt>
                <c:pt idx="152">
                  <c:v>42248</c:v>
                </c:pt>
                <c:pt idx="153">
                  <c:v>42278</c:v>
                </c:pt>
                <c:pt idx="154">
                  <c:v>42309</c:v>
                </c:pt>
                <c:pt idx="155">
                  <c:v>42339</c:v>
                </c:pt>
                <c:pt idx="156">
                  <c:v>42370</c:v>
                </c:pt>
                <c:pt idx="157">
                  <c:v>42401</c:v>
                </c:pt>
                <c:pt idx="158">
                  <c:v>42430</c:v>
                </c:pt>
                <c:pt idx="159">
                  <c:v>42461</c:v>
                </c:pt>
                <c:pt idx="160">
                  <c:v>42491</c:v>
                </c:pt>
                <c:pt idx="161">
                  <c:v>42522</c:v>
                </c:pt>
                <c:pt idx="162">
                  <c:v>42552</c:v>
                </c:pt>
                <c:pt idx="163">
                  <c:v>42583</c:v>
                </c:pt>
                <c:pt idx="164">
                  <c:v>42614</c:v>
                </c:pt>
                <c:pt idx="165">
                  <c:v>42644</c:v>
                </c:pt>
                <c:pt idx="166">
                  <c:v>42675</c:v>
                </c:pt>
                <c:pt idx="167">
                  <c:v>42705</c:v>
                </c:pt>
                <c:pt idx="168">
                  <c:v>42736</c:v>
                </c:pt>
                <c:pt idx="169">
                  <c:v>42767</c:v>
                </c:pt>
                <c:pt idx="170">
                  <c:v>42795</c:v>
                </c:pt>
                <c:pt idx="171">
                  <c:v>42826</c:v>
                </c:pt>
                <c:pt idx="172">
                  <c:v>42856</c:v>
                </c:pt>
                <c:pt idx="173">
                  <c:v>42887</c:v>
                </c:pt>
                <c:pt idx="174">
                  <c:v>42917</c:v>
                </c:pt>
                <c:pt idx="175">
                  <c:v>42948</c:v>
                </c:pt>
                <c:pt idx="176">
                  <c:v>42979</c:v>
                </c:pt>
                <c:pt idx="177">
                  <c:v>43009</c:v>
                </c:pt>
                <c:pt idx="178">
                  <c:v>43040</c:v>
                </c:pt>
                <c:pt idx="179">
                  <c:v>43070</c:v>
                </c:pt>
                <c:pt idx="180">
                  <c:v>43101</c:v>
                </c:pt>
                <c:pt idx="181">
                  <c:v>43132</c:v>
                </c:pt>
                <c:pt idx="182">
                  <c:v>43160</c:v>
                </c:pt>
                <c:pt idx="183">
                  <c:v>43191</c:v>
                </c:pt>
                <c:pt idx="184">
                  <c:v>43221</c:v>
                </c:pt>
                <c:pt idx="185">
                  <c:v>43252</c:v>
                </c:pt>
                <c:pt idx="186">
                  <c:v>43282</c:v>
                </c:pt>
                <c:pt idx="187">
                  <c:v>43313</c:v>
                </c:pt>
                <c:pt idx="188">
                  <c:v>43344</c:v>
                </c:pt>
                <c:pt idx="189">
                  <c:v>43374</c:v>
                </c:pt>
                <c:pt idx="190">
                  <c:v>43405</c:v>
                </c:pt>
                <c:pt idx="191">
                  <c:v>43435</c:v>
                </c:pt>
                <c:pt idx="192">
                  <c:v>43466</c:v>
                </c:pt>
                <c:pt idx="193">
                  <c:v>43497</c:v>
                </c:pt>
                <c:pt idx="194">
                  <c:v>43525</c:v>
                </c:pt>
                <c:pt idx="195">
                  <c:v>43556</c:v>
                </c:pt>
                <c:pt idx="196">
                  <c:v>43586</c:v>
                </c:pt>
                <c:pt idx="197">
                  <c:v>43617</c:v>
                </c:pt>
                <c:pt idx="198">
                  <c:v>43647</c:v>
                </c:pt>
                <c:pt idx="199">
                  <c:v>43678</c:v>
                </c:pt>
                <c:pt idx="200">
                  <c:v>43709</c:v>
                </c:pt>
                <c:pt idx="201">
                  <c:v>43739</c:v>
                </c:pt>
                <c:pt idx="202">
                  <c:v>43770</c:v>
                </c:pt>
                <c:pt idx="203">
                  <c:v>43800</c:v>
                </c:pt>
                <c:pt idx="204">
                  <c:v>43831</c:v>
                </c:pt>
                <c:pt idx="205">
                  <c:v>43862</c:v>
                </c:pt>
                <c:pt idx="206">
                  <c:v>43891</c:v>
                </c:pt>
                <c:pt idx="207">
                  <c:v>43922</c:v>
                </c:pt>
                <c:pt idx="208">
                  <c:v>43952</c:v>
                </c:pt>
                <c:pt idx="209">
                  <c:v>43983</c:v>
                </c:pt>
                <c:pt idx="210">
                  <c:v>44013</c:v>
                </c:pt>
                <c:pt idx="211">
                  <c:v>44044</c:v>
                </c:pt>
                <c:pt idx="212">
                  <c:v>44075</c:v>
                </c:pt>
                <c:pt idx="213">
                  <c:v>44105</c:v>
                </c:pt>
                <c:pt idx="214">
                  <c:v>44136</c:v>
                </c:pt>
                <c:pt idx="215">
                  <c:v>44166</c:v>
                </c:pt>
                <c:pt idx="216">
                  <c:v>44197</c:v>
                </c:pt>
                <c:pt idx="217">
                  <c:v>44228</c:v>
                </c:pt>
                <c:pt idx="218">
                  <c:v>44256</c:v>
                </c:pt>
                <c:pt idx="219">
                  <c:v>44287</c:v>
                </c:pt>
                <c:pt idx="220">
                  <c:v>44317</c:v>
                </c:pt>
                <c:pt idx="221">
                  <c:v>44348</c:v>
                </c:pt>
                <c:pt idx="222">
                  <c:v>44378</c:v>
                </c:pt>
                <c:pt idx="223">
                  <c:v>44409</c:v>
                </c:pt>
                <c:pt idx="224">
                  <c:v>44440</c:v>
                </c:pt>
                <c:pt idx="225">
                  <c:v>44470</c:v>
                </c:pt>
                <c:pt idx="226">
                  <c:v>44501</c:v>
                </c:pt>
                <c:pt idx="227">
                  <c:v>44531</c:v>
                </c:pt>
                <c:pt idx="228">
                  <c:v>44562</c:v>
                </c:pt>
                <c:pt idx="229">
                  <c:v>44593</c:v>
                </c:pt>
                <c:pt idx="230">
                  <c:v>44621</c:v>
                </c:pt>
                <c:pt idx="231">
                  <c:v>44652</c:v>
                </c:pt>
                <c:pt idx="232">
                  <c:v>44682</c:v>
                </c:pt>
                <c:pt idx="233">
                  <c:v>44713</c:v>
                </c:pt>
                <c:pt idx="234">
                  <c:v>44743</c:v>
                </c:pt>
                <c:pt idx="235">
                  <c:v>44774</c:v>
                </c:pt>
                <c:pt idx="236">
                  <c:v>44805</c:v>
                </c:pt>
                <c:pt idx="237">
                  <c:v>44835</c:v>
                </c:pt>
                <c:pt idx="238">
                  <c:v>44866</c:v>
                </c:pt>
                <c:pt idx="239">
                  <c:v>44896</c:v>
                </c:pt>
                <c:pt idx="240">
                  <c:v>44927</c:v>
                </c:pt>
                <c:pt idx="241">
                  <c:v>44958</c:v>
                </c:pt>
                <c:pt idx="242">
                  <c:v>44986</c:v>
                </c:pt>
                <c:pt idx="243">
                  <c:v>45017</c:v>
                </c:pt>
                <c:pt idx="244">
                  <c:v>45047</c:v>
                </c:pt>
                <c:pt idx="245">
                  <c:v>45078</c:v>
                </c:pt>
                <c:pt idx="246">
                  <c:v>45108</c:v>
                </c:pt>
                <c:pt idx="247">
                  <c:v>45139</c:v>
                </c:pt>
                <c:pt idx="248">
                  <c:v>45170</c:v>
                </c:pt>
                <c:pt idx="249">
                  <c:v>45200</c:v>
                </c:pt>
                <c:pt idx="250">
                  <c:v>45231</c:v>
                </c:pt>
                <c:pt idx="251">
                  <c:v>45261</c:v>
                </c:pt>
                <c:pt idx="252">
                  <c:v>45292</c:v>
                </c:pt>
                <c:pt idx="253">
                  <c:v>45323</c:v>
                </c:pt>
                <c:pt idx="254">
                  <c:v>45352</c:v>
                </c:pt>
                <c:pt idx="255">
                  <c:v>45383</c:v>
                </c:pt>
                <c:pt idx="256">
                  <c:v>45413</c:v>
                </c:pt>
                <c:pt idx="257">
                  <c:v>45444</c:v>
                </c:pt>
                <c:pt idx="258">
                  <c:v>45474</c:v>
                </c:pt>
                <c:pt idx="259">
                  <c:v>45505</c:v>
                </c:pt>
                <c:pt idx="260">
                  <c:v>45536</c:v>
                </c:pt>
                <c:pt idx="261">
                  <c:v>45566</c:v>
                </c:pt>
                <c:pt idx="262">
                  <c:v>45597</c:v>
                </c:pt>
                <c:pt idx="263">
                  <c:v>45627</c:v>
                </c:pt>
                <c:pt idx="264">
                  <c:v>45658</c:v>
                </c:pt>
                <c:pt idx="265">
                  <c:v>45689</c:v>
                </c:pt>
                <c:pt idx="266">
                  <c:v>45717</c:v>
                </c:pt>
                <c:pt idx="267">
                  <c:v>45748</c:v>
                </c:pt>
                <c:pt idx="268">
                  <c:v>45778</c:v>
                </c:pt>
                <c:pt idx="269">
                  <c:v>45809</c:v>
                </c:pt>
                <c:pt idx="270">
                  <c:v>45839</c:v>
                </c:pt>
                <c:pt idx="271">
                  <c:v>45870</c:v>
                </c:pt>
                <c:pt idx="272">
                  <c:v>45901</c:v>
                </c:pt>
                <c:pt idx="273">
                  <c:v>45931</c:v>
                </c:pt>
                <c:pt idx="274">
                  <c:v>45962</c:v>
                </c:pt>
                <c:pt idx="275">
                  <c:v>45992</c:v>
                </c:pt>
                <c:pt idx="276">
                  <c:v>46023</c:v>
                </c:pt>
                <c:pt idx="277">
                  <c:v>46054</c:v>
                </c:pt>
                <c:pt idx="278">
                  <c:v>46082</c:v>
                </c:pt>
                <c:pt idx="279">
                  <c:v>46113</c:v>
                </c:pt>
                <c:pt idx="280">
                  <c:v>46143</c:v>
                </c:pt>
                <c:pt idx="281">
                  <c:v>46174</c:v>
                </c:pt>
              </c:numCache>
            </c:numRef>
          </c:cat>
          <c:val>
            <c:numRef>
              <c:f>'OilBrent Holt'!$C$7:$C$283</c:f>
              <c:numCache>
                <c:formatCode>General</c:formatCode>
                <c:ptCount val="277"/>
                <c:pt idx="0">
                  <c:v>30.808695652173899</c:v>
                </c:pt>
                <c:pt idx="1">
                  <c:v>32.662500000000001</c:v>
                </c:pt>
                <c:pt idx="2">
                  <c:v>30.168095238095201</c:v>
                </c:pt>
                <c:pt idx="3">
                  <c:v>25.035</c:v>
                </c:pt>
                <c:pt idx="4">
                  <c:v>25.714545454545402</c:v>
                </c:pt>
                <c:pt idx="5">
                  <c:v>27.566666666666599</c:v>
                </c:pt>
                <c:pt idx="6">
                  <c:v>28.5039130434782</c:v>
                </c:pt>
                <c:pt idx="7">
                  <c:v>29.718095238095199</c:v>
                </c:pt>
                <c:pt idx="8">
                  <c:v>27.044090909090901</c:v>
                </c:pt>
                <c:pt idx="9">
                  <c:v>29.435652173912999</c:v>
                </c:pt>
                <c:pt idx="10">
                  <c:v>28.948499999999999</c:v>
                </c:pt>
                <c:pt idx="11">
                  <c:v>29.743478260869502</c:v>
                </c:pt>
                <c:pt idx="12">
                  <c:v>30.981818181818099</c:v>
                </c:pt>
                <c:pt idx="13">
                  <c:v>30.795000000000002</c:v>
                </c:pt>
                <c:pt idx="14">
                  <c:v>33.424347826086901</c:v>
                </c:pt>
                <c:pt idx="15">
                  <c:v>33.357727272727203</c:v>
                </c:pt>
                <c:pt idx="16">
                  <c:v>37.589047619047598</c:v>
                </c:pt>
                <c:pt idx="17">
                  <c:v>35.437727272727201</c:v>
                </c:pt>
                <c:pt idx="18">
                  <c:v>38.226818181818103</c:v>
                </c:pt>
                <c:pt idx="19">
                  <c:v>42.224090909090897</c:v>
                </c:pt>
                <c:pt idx="20">
                  <c:v>43.315909090909003</c:v>
                </c:pt>
                <c:pt idx="21">
                  <c:v>49.736190476190401</c:v>
                </c:pt>
                <c:pt idx="22">
                  <c:v>43.748636363636301</c:v>
                </c:pt>
                <c:pt idx="23">
                  <c:v>39.965652173913</c:v>
                </c:pt>
                <c:pt idx="24">
                  <c:v>44.174761904761901</c:v>
                </c:pt>
                <c:pt idx="25">
                  <c:v>45.720999999999997</c:v>
                </c:pt>
                <c:pt idx="26">
                  <c:v>53.229130434782597</c:v>
                </c:pt>
                <c:pt idx="27">
                  <c:v>52.604285714285702</c:v>
                </c:pt>
                <c:pt idx="28">
                  <c:v>49.285454545454499</c:v>
                </c:pt>
                <c:pt idx="29">
                  <c:v>54.839090909090899</c:v>
                </c:pt>
                <c:pt idx="30">
                  <c:v>57.625714285714203</c:v>
                </c:pt>
                <c:pt idx="31">
                  <c:v>63.950434782608703</c:v>
                </c:pt>
                <c:pt idx="32">
                  <c:v>63.261363636363598</c:v>
                </c:pt>
                <c:pt idx="33">
                  <c:v>58.908571428571399</c:v>
                </c:pt>
                <c:pt idx="34">
                  <c:v>55.449545454545401</c:v>
                </c:pt>
                <c:pt idx="35">
                  <c:v>57.156818181818103</c:v>
                </c:pt>
                <c:pt idx="36">
                  <c:v>63.311818181818097</c:v>
                </c:pt>
                <c:pt idx="37">
                  <c:v>60.805500000000002</c:v>
                </c:pt>
                <c:pt idx="38">
                  <c:v>62.746956521739101</c:v>
                </c:pt>
                <c:pt idx="39">
                  <c:v>70.34</c:v>
                </c:pt>
                <c:pt idx="40">
                  <c:v>70.510000000000005</c:v>
                </c:pt>
                <c:pt idx="41">
                  <c:v>69.232727272727203</c:v>
                </c:pt>
                <c:pt idx="42">
                  <c:v>74.040952380952305</c:v>
                </c:pt>
                <c:pt idx="43">
                  <c:v>73.500434782608707</c:v>
                </c:pt>
                <c:pt idx="44">
                  <c:v>62.527142857142799</c:v>
                </c:pt>
                <c:pt idx="45">
                  <c:v>58.758181818181797</c:v>
                </c:pt>
                <c:pt idx="46">
                  <c:v>59.222727272727198</c:v>
                </c:pt>
                <c:pt idx="47">
                  <c:v>62.260476190476098</c:v>
                </c:pt>
                <c:pt idx="48">
                  <c:v>54.5030434782608</c:v>
                </c:pt>
                <c:pt idx="49">
                  <c:v>57.969499999999996</c:v>
                </c:pt>
                <c:pt idx="50">
                  <c:v>62.357272727272701</c:v>
                </c:pt>
                <c:pt idx="51">
                  <c:v>67.690476190476105</c:v>
                </c:pt>
                <c:pt idx="52">
                  <c:v>67.717826086956507</c:v>
                </c:pt>
                <c:pt idx="53">
                  <c:v>70.619047619047606</c:v>
                </c:pt>
                <c:pt idx="54">
                  <c:v>76.133181818181797</c:v>
                </c:pt>
                <c:pt idx="55">
                  <c:v>71.313043478260795</c:v>
                </c:pt>
                <c:pt idx="56">
                  <c:v>76.772000000000006</c:v>
                </c:pt>
                <c:pt idx="57">
                  <c:v>82.507391304347806</c:v>
                </c:pt>
                <c:pt idx="58">
                  <c:v>92.731363636363596</c:v>
                </c:pt>
                <c:pt idx="59">
                  <c:v>91.519523809523804</c:v>
                </c:pt>
                <c:pt idx="60">
                  <c:v>92.091739130434703</c:v>
                </c:pt>
                <c:pt idx="61">
                  <c:v>94.722380952380902</c:v>
                </c:pt>
                <c:pt idx="62">
                  <c:v>103.161904761904</c:v>
                </c:pt>
                <c:pt idx="63">
                  <c:v>110.03318181818101</c:v>
                </c:pt>
                <c:pt idx="64">
                  <c:v>123.862272727272</c:v>
                </c:pt>
                <c:pt idx="65">
                  <c:v>132.760476190476</c:v>
                </c:pt>
                <c:pt idx="66">
                  <c:v>133.58521739130401</c:v>
                </c:pt>
                <c:pt idx="67">
                  <c:v>113.800476190476</c:v>
                </c:pt>
                <c:pt idx="68">
                  <c:v>98.755454545454498</c:v>
                </c:pt>
                <c:pt idx="69">
                  <c:v>71.963478260869493</c:v>
                </c:pt>
                <c:pt idx="70">
                  <c:v>52.713500000000003</c:v>
                </c:pt>
                <c:pt idx="71">
                  <c:v>40.511739130434698</c:v>
                </c:pt>
                <c:pt idx="72">
                  <c:v>43.174545454545402</c:v>
                </c:pt>
                <c:pt idx="73">
                  <c:v>42.910499999999999</c:v>
                </c:pt>
                <c:pt idx="74">
                  <c:v>46.582727272727197</c:v>
                </c:pt>
                <c:pt idx="75">
                  <c:v>50.519090909090899</c:v>
                </c:pt>
                <c:pt idx="76">
                  <c:v>57.501428571428498</c:v>
                </c:pt>
                <c:pt idx="77">
                  <c:v>68.58</c:v>
                </c:pt>
                <c:pt idx="78">
                  <c:v>64.904347826086905</c:v>
                </c:pt>
                <c:pt idx="79">
                  <c:v>72.591904761904701</c:v>
                </c:pt>
                <c:pt idx="80">
                  <c:v>67.513181818181806</c:v>
                </c:pt>
                <c:pt idx="81">
                  <c:v>72.968636363636307</c:v>
                </c:pt>
                <c:pt idx="82">
                  <c:v>76.936666666666596</c:v>
                </c:pt>
                <c:pt idx="83">
                  <c:v>74.789565217391299</c:v>
                </c:pt>
                <c:pt idx="84">
                  <c:v>76.602380952380898</c:v>
                </c:pt>
                <c:pt idx="85">
                  <c:v>73.903000000000006</c:v>
                </c:pt>
                <c:pt idx="86">
                  <c:v>79.519130434782596</c:v>
                </c:pt>
                <c:pt idx="87">
                  <c:v>85.156363636363594</c:v>
                </c:pt>
                <c:pt idx="88">
                  <c:v>76.132380952380899</c:v>
                </c:pt>
                <c:pt idx="89">
                  <c:v>75.246363636363597</c:v>
                </c:pt>
                <c:pt idx="90">
                  <c:v>75.194999999999894</c:v>
                </c:pt>
                <c:pt idx="91">
                  <c:v>76.891818181818095</c:v>
                </c:pt>
                <c:pt idx="92">
                  <c:v>77.938181818181803</c:v>
                </c:pt>
                <c:pt idx="93">
                  <c:v>83.338571428571399</c:v>
                </c:pt>
                <c:pt idx="94">
                  <c:v>85.800909090909002</c:v>
                </c:pt>
                <c:pt idx="95">
                  <c:v>91.959999999999894</c:v>
                </c:pt>
                <c:pt idx="96">
                  <c:v>96.952380952380906</c:v>
                </c:pt>
                <c:pt idx="97">
                  <c:v>104.2385</c:v>
                </c:pt>
                <c:pt idx="98">
                  <c:v>114.91739130434701</c:v>
                </c:pt>
                <c:pt idx="99">
                  <c:v>123.325714285714</c:v>
                </c:pt>
                <c:pt idx="100">
                  <c:v>114.92954545454501</c:v>
                </c:pt>
                <c:pt idx="101">
                  <c:v>114.370454545454</c:v>
                </c:pt>
                <c:pt idx="102">
                  <c:v>117.48333333333299</c:v>
                </c:pt>
                <c:pt idx="103">
                  <c:v>110.354782608695</c:v>
                </c:pt>
                <c:pt idx="104">
                  <c:v>111.96272727272699</c:v>
                </c:pt>
                <c:pt idx="105">
                  <c:v>110.429523809523</c:v>
                </c:pt>
                <c:pt idx="106">
                  <c:v>111.15863636363601</c:v>
                </c:pt>
                <c:pt idx="107">
                  <c:v>108.347727272727</c:v>
                </c:pt>
                <c:pt idx="108">
                  <c:v>111.41500000000001</c:v>
                </c:pt>
                <c:pt idx="109">
                  <c:v>119.165714285714</c:v>
                </c:pt>
                <c:pt idx="110">
                  <c:v>124.70318181818099</c:v>
                </c:pt>
                <c:pt idx="111">
                  <c:v>120.47</c:v>
                </c:pt>
                <c:pt idx="112">
                  <c:v>110.822173913043</c:v>
                </c:pt>
                <c:pt idx="113">
                  <c:v>95.889047619047602</c:v>
                </c:pt>
                <c:pt idx="114">
                  <c:v>102.979545454545</c:v>
                </c:pt>
                <c:pt idx="115">
                  <c:v>113.780434782608</c:v>
                </c:pt>
                <c:pt idx="116">
                  <c:v>113.641499999999</c:v>
                </c:pt>
                <c:pt idx="117">
                  <c:v>111.79260869565201</c:v>
                </c:pt>
                <c:pt idx="118">
                  <c:v>109.91181818181801</c:v>
                </c:pt>
                <c:pt idx="119">
                  <c:v>109.569047619047</c:v>
                </c:pt>
                <c:pt idx="120">
                  <c:v>112.527826086956</c:v>
                </c:pt>
                <c:pt idx="121">
                  <c:v>116.488</c:v>
                </c:pt>
                <c:pt idx="122">
                  <c:v>109.585714285714</c:v>
                </c:pt>
                <c:pt idx="123">
                  <c:v>102.959999999999</c:v>
                </c:pt>
                <c:pt idx="124">
                  <c:v>102.980434782608</c:v>
                </c:pt>
                <c:pt idx="125">
                  <c:v>103.35850000000001</c:v>
                </c:pt>
                <c:pt idx="126">
                  <c:v>107.779565217391</c:v>
                </c:pt>
                <c:pt idx="127">
                  <c:v>111.058181818181</c:v>
                </c:pt>
                <c:pt idx="128">
                  <c:v>111.962857142857</c:v>
                </c:pt>
                <c:pt idx="129">
                  <c:v>109.618695652173</c:v>
                </c:pt>
                <c:pt idx="130">
                  <c:v>108.150476190476</c:v>
                </c:pt>
                <c:pt idx="131">
                  <c:v>111.070454545454</c:v>
                </c:pt>
                <c:pt idx="132">
                  <c:v>107.926956521739</c:v>
                </c:pt>
                <c:pt idx="133">
                  <c:v>108.837999999999</c:v>
                </c:pt>
                <c:pt idx="134">
                  <c:v>107.86809523809499</c:v>
                </c:pt>
                <c:pt idx="135">
                  <c:v>108.00363636363601</c:v>
                </c:pt>
                <c:pt idx="136">
                  <c:v>109.832272727272</c:v>
                </c:pt>
                <c:pt idx="137">
                  <c:v>112.240952380952</c:v>
                </c:pt>
                <c:pt idx="138">
                  <c:v>107.46260869565199</c:v>
                </c:pt>
                <c:pt idx="139">
                  <c:v>102.40190476190401</c:v>
                </c:pt>
                <c:pt idx="140">
                  <c:v>97.852727272727194</c:v>
                </c:pt>
                <c:pt idx="141">
                  <c:v>87.584782608695605</c:v>
                </c:pt>
                <c:pt idx="142">
                  <c:v>79.229500000000002</c:v>
                </c:pt>
                <c:pt idx="143">
                  <c:v>62.903913043478198</c:v>
                </c:pt>
                <c:pt idx="144">
                  <c:v>48.933181818181801</c:v>
                </c:pt>
                <c:pt idx="145">
                  <c:v>58.253999999999998</c:v>
                </c:pt>
                <c:pt idx="146">
                  <c:v>56.524545454545397</c:v>
                </c:pt>
                <c:pt idx="147">
                  <c:v>59.826363636363602</c:v>
                </c:pt>
                <c:pt idx="148">
                  <c:v>65.193809523809506</c:v>
                </c:pt>
                <c:pt idx="149">
                  <c:v>62.62</c:v>
                </c:pt>
                <c:pt idx="150">
                  <c:v>56.829565217391298</c:v>
                </c:pt>
                <c:pt idx="151">
                  <c:v>47.533809523809502</c:v>
                </c:pt>
                <c:pt idx="152">
                  <c:v>48.030454545454504</c:v>
                </c:pt>
                <c:pt idx="153">
                  <c:v>48.906363636363601</c:v>
                </c:pt>
                <c:pt idx="154">
                  <c:v>45.095238095238102</c:v>
                </c:pt>
                <c:pt idx="155">
                  <c:v>38.525217391304302</c:v>
                </c:pt>
                <c:pt idx="156">
                  <c:v>32.045238095238098</c:v>
                </c:pt>
                <c:pt idx="157">
                  <c:v>33.762380952380902</c:v>
                </c:pt>
                <c:pt idx="158">
                  <c:v>39.792173913043399</c:v>
                </c:pt>
                <c:pt idx="159">
                  <c:v>43.330476190476098</c:v>
                </c:pt>
                <c:pt idx="160">
                  <c:v>47.734999999999999</c:v>
                </c:pt>
                <c:pt idx="161">
                  <c:v>49.877272727272697</c:v>
                </c:pt>
                <c:pt idx="162">
                  <c:v>46.598571428571397</c:v>
                </c:pt>
                <c:pt idx="163">
                  <c:v>47.052173913043397</c:v>
                </c:pt>
                <c:pt idx="164">
                  <c:v>47.376818181818102</c:v>
                </c:pt>
                <c:pt idx="165">
                  <c:v>51.413809523809498</c:v>
                </c:pt>
                <c:pt idx="166">
                  <c:v>46.942272727272702</c:v>
                </c:pt>
                <c:pt idx="167">
                  <c:v>55.022727272727202</c:v>
                </c:pt>
                <c:pt idx="168">
                  <c:v>55.710909090908999</c:v>
                </c:pt>
                <c:pt idx="169">
                  <c:v>56.095999999999997</c:v>
                </c:pt>
                <c:pt idx="170">
                  <c:v>52.655217391304298</c:v>
                </c:pt>
                <c:pt idx="171">
                  <c:v>53.978000000000002</c:v>
                </c:pt>
                <c:pt idx="172">
                  <c:v>51.374347826086897</c:v>
                </c:pt>
                <c:pt idx="173">
                  <c:v>47.652727272727198</c:v>
                </c:pt>
                <c:pt idx="174">
                  <c:v>49.253333333333302</c:v>
                </c:pt>
                <c:pt idx="175">
                  <c:v>51.9278260869565</c:v>
                </c:pt>
                <c:pt idx="176">
                  <c:v>55.557619047618999</c:v>
                </c:pt>
                <c:pt idx="177">
                  <c:v>57.536363636363603</c:v>
                </c:pt>
                <c:pt idx="178">
                  <c:v>62.8363636363636</c:v>
                </c:pt>
                <c:pt idx="179">
                  <c:v>64.064285714285703</c:v>
                </c:pt>
                <c:pt idx="180">
                  <c:v>68.889130434782601</c:v>
                </c:pt>
                <c:pt idx="181">
                  <c:v>65.6965</c:v>
                </c:pt>
                <c:pt idx="182">
                  <c:v>66.891818181818095</c:v>
                </c:pt>
                <c:pt idx="183">
                  <c:v>71.932857142857102</c:v>
                </c:pt>
                <c:pt idx="184">
                  <c:v>76.934347826086906</c:v>
                </c:pt>
                <c:pt idx="185">
                  <c:v>75.802857142857107</c:v>
                </c:pt>
                <c:pt idx="186">
                  <c:v>75.2290909090909</c:v>
                </c:pt>
                <c:pt idx="187">
                  <c:v>73.851304347826002</c:v>
                </c:pt>
                <c:pt idx="188">
                  <c:v>79.162999999999997</c:v>
                </c:pt>
                <c:pt idx="189">
                  <c:v>80.783478260869501</c:v>
                </c:pt>
                <c:pt idx="190">
                  <c:v>66.228636363636298</c:v>
                </c:pt>
                <c:pt idx="191">
                  <c:v>57.948095238095199</c:v>
                </c:pt>
                <c:pt idx="192">
                  <c:v>59.944782608695597</c:v>
                </c:pt>
                <c:pt idx="193">
                  <c:v>64.384</c:v>
                </c:pt>
                <c:pt idx="194">
                  <c:v>66.941904761904695</c:v>
                </c:pt>
                <c:pt idx="195">
                  <c:v>71.475909090908999</c:v>
                </c:pt>
                <c:pt idx="196">
                  <c:v>70.389130434782601</c:v>
                </c:pt>
                <c:pt idx="197">
                  <c:v>63.208500000000001</c:v>
                </c:pt>
                <c:pt idx="198">
                  <c:v>64.3221739130434</c:v>
                </c:pt>
                <c:pt idx="199">
                  <c:v>59.618181818181803</c:v>
                </c:pt>
                <c:pt idx="200">
                  <c:v>62.430952380952299</c:v>
                </c:pt>
                <c:pt idx="201">
                  <c:v>59.631304347826003</c:v>
                </c:pt>
                <c:pt idx="202">
                  <c:v>62.686666666666603</c:v>
                </c:pt>
                <c:pt idx="203">
                  <c:v>65.3481818181818</c:v>
                </c:pt>
                <c:pt idx="204">
                  <c:v>63.898695652173899</c:v>
                </c:pt>
                <c:pt idx="205">
                  <c:v>55.691000000000003</c:v>
                </c:pt>
                <c:pt idx="206">
                  <c:v>33.947272727272697</c:v>
                </c:pt>
                <c:pt idx="207">
                  <c:v>26.848636363636299</c:v>
                </c:pt>
                <c:pt idx="208">
                  <c:v>32.422380952380898</c:v>
                </c:pt>
                <c:pt idx="209">
                  <c:v>40.860454545454502</c:v>
                </c:pt>
                <c:pt idx="210">
                  <c:v>43.295652173912998</c:v>
                </c:pt>
                <c:pt idx="211">
                  <c:v>45.081428571428503</c:v>
                </c:pt>
                <c:pt idx="212">
                  <c:v>41.926818181818099</c:v>
                </c:pt>
                <c:pt idx="213">
                  <c:v>41.606818181818099</c:v>
                </c:pt>
                <c:pt idx="214">
                  <c:v>44.05</c:v>
                </c:pt>
                <c:pt idx="215">
                  <c:v>50.376956521739103</c:v>
                </c:pt>
                <c:pt idx="216">
                  <c:v>55.224761904761898</c:v>
                </c:pt>
                <c:pt idx="217">
                  <c:v>62.362499999999997</c:v>
                </c:pt>
                <c:pt idx="218">
                  <c:v>65.796086956521705</c:v>
                </c:pt>
                <c:pt idx="219">
                  <c:v>65.531818181818096</c:v>
                </c:pt>
                <c:pt idx="220">
                  <c:v>68.375238095238103</c:v>
                </c:pt>
                <c:pt idx="221">
                  <c:v>73.512727272727204</c:v>
                </c:pt>
                <c:pt idx="222">
                  <c:v>74.403181818181807</c:v>
                </c:pt>
                <c:pt idx="223">
                  <c:v>70.588181818181795</c:v>
                </c:pt>
                <c:pt idx="224">
                  <c:v>74.749545454545398</c:v>
                </c:pt>
                <c:pt idx="225">
                  <c:v>83.865238095238098</c:v>
                </c:pt>
                <c:pt idx="226">
                  <c:v>80.890454545454503</c:v>
                </c:pt>
                <c:pt idx="227">
                  <c:v>74.678260869565193</c:v>
                </c:pt>
                <c:pt idx="228">
                  <c:v>85.622380952380894</c:v>
                </c:pt>
                <c:pt idx="229">
                  <c:v>94.266999999999996</c:v>
                </c:pt>
                <c:pt idx="230">
                  <c:v>112.44</c:v>
                </c:pt>
                <c:pt idx="231">
                  <c:v>106.155714285714</c:v>
                </c:pt>
                <c:pt idx="232">
                  <c:v>112.113636363636</c:v>
                </c:pt>
                <c:pt idx="233">
                  <c:v>117.692727272727</c:v>
                </c:pt>
                <c:pt idx="234">
                  <c:v>105.252857142857</c:v>
                </c:pt>
                <c:pt idx="235">
                  <c:v>97.643043478260793</c:v>
                </c:pt>
                <c:pt idx="236">
                  <c:v>90.608181818181805</c:v>
                </c:pt>
                <c:pt idx="237">
                  <c:v>93.718571428571394</c:v>
                </c:pt>
                <c:pt idx="238">
                  <c:v>90.938636363636306</c:v>
                </c:pt>
                <c:pt idx="239">
                  <c:v>81.503181818181801</c:v>
                </c:pt>
                <c:pt idx="240">
                  <c:v>84.081818181818093</c:v>
                </c:pt>
                <c:pt idx="241">
                  <c:v>83.632499999999894</c:v>
                </c:pt>
                <c:pt idx="242">
                  <c:v>79.256521739130406</c:v>
                </c:pt>
                <c:pt idx="243">
                  <c:v>83.536000000000001</c:v>
                </c:pt>
                <c:pt idx="244">
                  <c:v>75.747391304347801</c:v>
                </c:pt>
                <c:pt idx="245">
                  <c:v>74.974999999999895</c:v>
                </c:pt>
                <c:pt idx="246">
                  <c:v>80.109047619047601</c:v>
                </c:pt>
                <c:pt idx="247">
                  <c:v>85.168260869565202</c:v>
                </c:pt>
                <c:pt idx="248">
                  <c:v>92.673333333333304</c:v>
                </c:pt>
                <c:pt idx="249">
                  <c:v>88.947727272727207</c:v>
                </c:pt>
                <c:pt idx="250">
                  <c:v>82.186363636363595</c:v>
                </c:pt>
                <c:pt idx="251">
                  <c:v>77.540952380952305</c:v>
                </c:pt>
                <c:pt idx="252">
                  <c:v>79.11</c:v>
                </c:pt>
                <c:pt idx="253">
                  <c:v>81.795714285714297</c:v>
                </c:pt>
                <c:pt idx="254">
                  <c:v>84.961428571428499</c:v>
                </c:pt>
                <c:pt idx="255">
                  <c:v>88.974545454545407</c:v>
                </c:pt>
                <c:pt idx="256">
                  <c:v>83.053913043478204</c:v>
                </c:pt>
                <c:pt idx="257">
                  <c:v>82.917500000000004</c:v>
                </c:pt>
                <c:pt idx="258">
                  <c:v>84.048695652173905</c:v>
                </c:pt>
                <c:pt idx="259">
                  <c:v>79.018636363636304</c:v>
                </c:pt>
                <c:pt idx="260">
                  <c:v>73.057619047618999</c:v>
                </c:pt>
                <c:pt idx="261">
                  <c:v>75.266521739130397</c:v>
                </c:pt>
                <c:pt idx="262">
                  <c:v>73.5085714285714</c:v>
                </c:pt>
                <c:pt idx="263">
                  <c:v>73.227727272727194</c:v>
                </c:pt>
                <c:pt idx="264">
                  <c:v>78.193913043478204</c:v>
                </c:pt>
                <c:pt idx="265">
                  <c:v>75.192999999999998</c:v>
                </c:pt>
                <c:pt idx="266">
                  <c:v>71.7414285714285</c:v>
                </c:pt>
                <c:pt idx="267">
                  <c:v>66.927272727272694</c:v>
                </c:pt>
                <c:pt idx="268">
                  <c:v>64.092727272727203</c:v>
                </c:pt>
                <c:pt idx="269">
                  <c:v>69.846666666666593</c:v>
                </c:pt>
                <c:pt idx="270">
                  <c:v>69.564782608695594</c:v>
                </c:pt>
                <c:pt idx="271">
                  <c:v>67.244285714285695</c:v>
                </c:pt>
                <c:pt idx="272">
                  <c:v>67.609090909090895</c:v>
                </c:pt>
                <c:pt idx="273">
                  <c:v>63.981304347825997</c:v>
                </c:pt>
                <c:pt idx="274">
                  <c:v>63.6935</c:v>
                </c:pt>
                <c:pt idx="275">
                  <c:v>61.810909090909</c:v>
                </c:pt>
                <c:pt idx="276">
                  <c:v>64.594090909090895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C7-4623-8149-FFF3D07CC022}"/>
            </c:ext>
          </c:extLst>
        </c:ser>
        <c:ser>
          <c:idx val="1"/>
          <c:order val="1"/>
          <c:tx>
            <c:strRef>
              <c:f>'OilBrent Holt'!$G$6</c:f>
              <c:strCache>
                <c:ptCount val="1"/>
                <c:pt idx="0">
                  <c:v>Yt  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'OilBrent Holt'!$B$7:$B$288</c:f>
              <c:numCache>
                <c:formatCode>yyyy\-mm\-dd</c:formatCode>
                <c:ptCount val="282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  <c:pt idx="36">
                  <c:v>38718</c:v>
                </c:pt>
                <c:pt idx="37">
                  <c:v>38749</c:v>
                </c:pt>
                <c:pt idx="38">
                  <c:v>38777</c:v>
                </c:pt>
                <c:pt idx="39">
                  <c:v>38808</c:v>
                </c:pt>
                <c:pt idx="40">
                  <c:v>38838</c:v>
                </c:pt>
                <c:pt idx="41">
                  <c:v>38869</c:v>
                </c:pt>
                <c:pt idx="42">
                  <c:v>38899</c:v>
                </c:pt>
                <c:pt idx="43">
                  <c:v>38930</c:v>
                </c:pt>
                <c:pt idx="44">
                  <c:v>38961</c:v>
                </c:pt>
                <c:pt idx="45">
                  <c:v>38991</c:v>
                </c:pt>
                <c:pt idx="46">
                  <c:v>39022</c:v>
                </c:pt>
                <c:pt idx="47">
                  <c:v>39052</c:v>
                </c:pt>
                <c:pt idx="48">
                  <c:v>39083</c:v>
                </c:pt>
                <c:pt idx="49">
                  <c:v>39114</c:v>
                </c:pt>
                <c:pt idx="50">
                  <c:v>39142</c:v>
                </c:pt>
                <c:pt idx="51">
                  <c:v>39173</c:v>
                </c:pt>
                <c:pt idx="52">
                  <c:v>39203</c:v>
                </c:pt>
                <c:pt idx="53">
                  <c:v>39234</c:v>
                </c:pt>
                <c:pt idx="54">
                  <c:v>39264</c:v>
                </c:pt>
                <c:pt idx="55">
                  <c:v>39295</c:v>
                </c:pt>
                <c:pt idx="56">
                  <c:v>39326</c:v>
                </c:pt>
                <c:pt idx="57">
                  <c:v>39356</c:v>
                </c:pt>
                <c:pt idx="58">
                  <c:v>39387</c:v>
                </c:pt>
                <c:pt idx="59">
                  <c:v>39417</c:v>
                </c:pt>
                <c:pt idx="60">
                  <c:v>39448</c:v>
                </c:pt>
                <c:pt idx="61">
                  <c:v>39479</c:v>
                </c:pt>
                <c:pt idx="62">
                  <c:v>39508</c:v>
                </c:pt>
                <c:pt idx="63">
                  <c:v>39539</c:v>
                </c:pt>
                <c:pt idx="64">
                  <c:v>39569</c:v>
                </c:pt>
                <c:pt idx="65">
                  <c:v>39600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39753</c:v>
                </c:pt>
                <c:pt idx="71">
                  <c:v>39783</c:v>
                </c:pt>
                <c:pt idx="72">
                  <c:v>39814</c:v>
                </c:pt>
                <c:pt idx="73">
                  <c:v>39845</c:v>
                </c:pt>
                <c:pt idx="74">
                  <c:v>39873</c:v>
                </c:pt>
                <c:pt idx="75">
                  <c:v>39904</c:v>
                </c:pt>
                <c:pt idx="76">
                  <c:v>39934</c:v>
                </c:pt>
                <c:pt idx="77">
                  <c:v>39965</c:v>
                </c:pt>
                <c:pt idx="78">
                  <c:v>39995</c:v>
                </c:pt>
                <c:pt idx="79">
                  <c:v>40026</c:v>
                </c:pt>
                <c:pt idx="80">
                  <c:v>40057</c:v>
                </c:pt>
                <c:pt idx="81">
                  <c:v>40087</c:v>
                </c:pt>
                <c:pt idx="82">
                  <c:v>40118</c:v>
                </c:pt>
                <c:pt idx="83">
                  <c:v>40148</c:v>
                </c:pt>
                <c:pt idx="84">
                  <c:v>40179</c:v>
                </c:pt>
                <c:pt idx="85">
                  <c:v>40210</c:v>
                </c:pt>
                <c:pt idx="86">
                  <c:v>40238</c:v>
                </c:pt>
                <c:pt idx="87">
                  <c:v>40269</c:v>
                </c:pt>
                <c:pt idx="88">
                  <c:v>40299</c:v>
                </c:pt>
                <c:pt idx="89">
                  <c:v>40330</c:v>
                </c:pt>
                <c:pt idx="90">
                  <c:v>40360</c:v>
                </c:pt>
                <c:pt idx="91">
                  <c:v>40391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40544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40664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40817</c:v>
                </c:pt>
                <c:pt idx="106">
                  <c:v>40848</c:v>
                </c:pt>
                <c:pt idx="107">
                  <c:v>40878</c:v>
                </c:pt>
                <c:pt idx="108">
                  <c:v>40909</c:v>
                </c:pt>
                <c:pt idx="109">
                  <c:v>40940</c:v>
                </c:pt>
                <c:pt idx="110">
                  <c:v>40969</c:v>
                </c:pt>
                <c:pt idx="111">
                  <c:v>41000</c:v>
                </c:pt>
                <c:pt idx="112">
                  <c:v>41030</c:v>
                </c:pt>
                <c:pt idx="113">
                  <c:v>41061</c:v>
                </c:pt>
                <c:pt idx="114">
                  <c:v>41091</c:v>
                </c:pt>
                <c:pt idx="115">
                  <c:v>41122</c:v>
                </c:pt>
                <c:pt idx="116">
                  <c:v>41153</c:v>
                </c:pt>
                <c:pt idx="117">
                  <c:v>41183</c:v>
                </c:pt>
                <c:pt idx="118">
                  <c:v>41214</c:v>
                </c:pt>
                <c:pt idx="119">
                  <c:v>41244</c:v>
                </c:pt>
                <c:pt idx="120">
                  <c:v>41275</c:v>
                </c:pt>
                <c:pt idx="121">
                  <c:v>41306</c:v>
                </c:pt>
                <c:pt idx="122">
                  <c:v>41334</c:v>
                </c:pt>
                <c:pt idx="123">
                  <c:v>41365</c:v>
                </c:pt>
                <c:pt idx="124">
                  <c:v>41395</c:v>
                </c:pt>
                <c:pt idx="125">
                  <c:v>41426</c:v>
                </c:pt>
                <c:pt idx="126">
                  <c:v>41456</c:v>
                </c:pt>
                <c:pt idx="127">
                  <c:v>41487</c:v>
                </c:pt>
                <c:pt idx="128">
                  <c:v>41518</c:v>
                </c:pt>
                <c:pt idx="129">
                  <c:v>41548</c:v>
                </c:pt>
                <c:pt idx="130">
                  <c:v>41579</c:v>
                </c:pt>
                <c:pt idx="131">
                  <c:v>41609</c:v>
                </c:pt>
                <c:pt idx="132">
                  <c:v>41640</c:v>
                </c:pt>
                <c:pt idx="133">
                  <c:v>41671</c:v>
                </c:pt>
                <c:pt idx="134">
                  <c:v>41699</c:v>
                </c:pt>
                <c:pt idx="135">
                  <c:v>41730</c:v>
                </c:pt>
                <c:pt idx="136">
                  <c:v>41760</c:v>
                </c:pt>
                <c:pt idx="137">
                  <c:v>41791</c:v>
                </c:pt>
                <c:pt idx="138">
                  <c:v>41821</c:v>
                </c:pt>
                <c:pt idx="139">
                  <c:v>41852</c:v>
                </c:pt>
                <c:pt idx="140">
                  <c:v>41883</c:v>
                </c:pt>
                <c:pt idx="141">
                  <c:v>41913</c:v>
                </c:pt>
                <c:pt idx="142">
                  <c:v>41944</c:v>
                </c:pt>
                <c:pt idx="143">
                  <c:v>41974</c:v>
                </c:pt>
                <c:pt idx="144">
                  <c:v>42005</c:v>
                </c:pt>
                <c:pt idx="145">
                  <c:v>42036</c:v>
                </c:pt>
                <c:pt idx="146">
                  <c:v>42064</c:v>
                </c:pt>
                <c:pt idx="147">
                  <c:v>42095</c:v>
                </c:pt>
                <c:pt idx="148">
                  <c:v>42125</c:v>
                </c:pt>
                <c:pt idx="149">
                  <c:v>42156</c:v>
                </c:pt>
                <c:pt idx="150">
                  <c:v>42186</c:v>
                </c:pt>
                <c:pt idx="151">
                  <c:v>42217</c:v>
                </c:pt>
                <c:pt idx="152">
                  <c:v>42248</c:v>
                </c:pt>
                <c:pt idx="153">
                  <c:v>42278</c:v>
                </c:pt>
                <c:pt idx="154">
                  <c:v>42309</c:v>
                </c:pt>
                <c:pt idx="155">
                  <c:v>42339</c:v>
                </c:pt>
                <c:pt idx="156">
                  <c:v>42370</c:v>
                </c:pt>
                <c:pt idx="157">
                  <c:v>42401</c:v>
                </c:pt>
                <c:pt idx="158">
                  <c:v>42430</c:v>
                </c:pt>
                <c:pt idx="159">
                  <c:v>42461</c:v>
                </c:pt>
                <c:pt idx="160">
                  <c:v>42491</c:v>
                </c:pt>
                <c:pt idx="161">
                  <c:v>42522</c:v>
                </c:pt>
                <c:pt idx="162">
                  <c:v>42552</c:v>
                </c:pt>
                <c:pt idx="163">
                  <c:v>42583</c:v>
                </c:pt>
                <c:pt idx="164">
                  <c:v>42614</c:v>
                </c:pt>
                <c:pt idx="165">
                  <c:v>42644</c:v>
                </c:pt>
                <c:pt idx="166">
                  <c:v>42675</c:v>
                </c:pt>
                <c:pt idx="167">
                  <c:v>42705</c:v>
                </c:pt>
                <c:pt idx="168">
                  <c:v>42736</c:v>
                </c:pt>
                <c:pt idx="169">
                  <c:v>42767</c:v>
                </c:pt>
                <c:pt idx="170">
                  <c:v>42795</c:v>
                </c:pt>
                <c:pt idx="171">
                  <c:v>42826</c:v>
                </c:pt>
                <c:pt idx="172">
                  <c:v>42856</c:v>
                </c:pt>
                <c:pt idx="173">
                  <c:v>42887</c:v>
                </c:pt>
                <c:pt idx="174">
                  <c:v>42917</c:v>
                </c:pt>
                <c:pt idx="175">
                  <c:v>42948</c:v>
                </c:pt>
                <c:pt idx="176">
                  <c:v>42979</c:v>
                </c:pt>
                <c:pt idx="177">
                  <c:v>43009</c:v>
                </c:pt>
                <c:pt idx="178">
                  <c:v>43040</c:v>
                </c:pt>
                <c:pt idx="179">
                  <c:v>43070</c:v>
                </c:pt>
                <c:pt idx="180">
                  <c:v>43101</c:v>
                </c:pt>
                <c:pt idx="181">
                  <c:v>43132</c:v>
                </c:pt>
                <c:pt idx="182">
                  <c:v>43160</c:v>
                </c:pt>
                <c:pt idx="183">
                  <c:v>43191</c:v>
                </c:pt>
                <c:pt idx="184">
                  <c:v>43221</c:v>
                </c:pt>
                <c:pt idx="185">
                  <c:v>43252</c:v>
                </c:pt>
                <c:pt idx="186">
                  <c:v>43282</c:v>
                </c:pt>
                <c:pt idx="187">
                  <c:v>43313</c:v>
                </c:pt>
                <c:pt idx="188">
                  <c:v>43344</c:v>
                </c:pt>
                <c:pt idx="189">
                  <c:v>43374</c:v>
                </c:pt>
                <c:pt idx="190">
                  <c:v>43405</c:v>
                </c:pt>
                <c:pt idx="191">
                  <c:v>43435</c:v>
                </c:pt>
                <c:pt idx="192">
                  <c:v>43466</c:v>
                </c:pt>
                <c:pt idx="193">
                  <c:v>43497</c:v>
                </c:pt>
                <c:pt idx="194">
                  <c:v>43525</c:v>
                </c:pt>
                <c:pt idx="195">
                  <c:v>43556</c:v>
                </c:pt>
                <c:pt idx="196">
                  <c:v>43586</c:v>
                </c:pt>
                <c:pt idx="197">
                  <c:v>43617</c:v>
                </c:pt>
                <c:pt idx="198">
                  <c:v>43647</c:v>
                </c:pt>
                <c:pt idx="199">
                  <c:v>43678</c:v>
                </c:pt>
                <c:pt idx="200">
                  <c:v>43709</c:v>
                </c:pt>
                <c:pt idx="201">
                  <c:v>43739</c:v>
                </c:pt>
                <c:pt idx="202">
                  <c:v>43770</c:v>
                </c:pt>
                <c:pt idx="203">
                  <c:v>43800</c:v>
                </c:pt>
                <c:pt idx="204">
                  <c:v>43831</c:v>
                </c:pt>
                <c:pt idx="205">
                  <c:v>43862</c:v>
                </c:pt>
                <c:pt idx="206">
                  <c:v>43891</c:v>
                </c:pt>
                <c:pt idx="207">
                  <c:v>43922</c:v>
                </c:pt>
                <c:pt idx="208">
                  <c:v>43952</c:v>
                </c:pt>
                <c:pt idx="209">
                  <c:v>43983</c:v>
                </c:pt>
                <c:pt idx="210">
                  <c:v>44013</c:v>
                </c:pt>
                <c:pt idx="211">
                  <c:v>44044</c:v>
                </c:pt>
                <c:pt idx="212">
                  <c:v>44075</c:v>
                </c:pt>
                <c:pt idx="213">
                  <c:v>44105</c:v>
                </c:pt>
                <c:pt idx="214">
                  <c:v>44136</c:v>
                </c:pt>
                <c:pt idx="215">
                  <c:v>44166</c:v>
                </c:pt>
                <c:pt idx="216">
                  <c:v>44197</c:v>
                </c:pt>
                <c:pt idx="217">
                  <c:v>44228</c:v>
                </c:pt>
                <c:pt idx="218">
                  <c:v>44256</c:v>
                </c:pt>
                <c:pt idx="219">
                  <c:v>44287</c:v>
                </c:pt>
                <c:pt idx="220">
                  <c:v>44317</c:v>
                </c:pt>
                <c:pt idx="221">
                  <c:v>44348</c:v>
                </c:pt>
                <c:pt idx="222">
                  <c:v>44378</c:v>
                </c:pt>
                <c:pt idx="223">
                  <c:v>44409</c:v>
                </c:pt>
                <c:pt idx="224">
                  <c:v>44440</c:v>
                </c:pt>
                <c:pt idx="225">
                  <c:v>44470</c:v>
                </c:pt>
                <c:pt idx="226">
                  <c:v>44501</c:v>
                </c:pt>
                <c:pt idx="227">
                  <c:v>44531</c:v>
                </c:pt>
                <c:pt idx="228">
                  <c:v>44562</c:v>
                </c:pt>
                <c:pt idx="229">
                  <c:v>44593</c:v>
                </c:pt>
                <c:pt idx="230">
                  <c:v>44621</c:v>
                </c:pt>
                <c:pt idx="231">
                  <c:v>44652</c:v>
                </c:pt>
                <c:pt idx="232">
                  <c:v>44682</c:v>
                </c:pt>
                <c:pt idx="233">
                  <c:v>44713</c:v>
                </c:pt>
                <c:pt idx="234">
                  <c:v>44743</c:v>
                </c:pt>
                <c:pt idx="235">
                  <c:v>44774</c:v>
                </c:pt>
                <c:pt idx="236">
                  <c:v>44805</c:v>
                </c:pt>
                <c:pt idx="237">
                  <c:v>44835</c:v>
                </c:pt>
                <c:pt idx="238">
                  <c:v>44866</c:v>
                </c:pt>
                <c:pt idx="239">
                  <c:v>44896</c:v>
                </c:pt>
                <c:pt idx="240">
                  <c:v>44927</c:v>
                </c:pt>
                <c:pt idx="241">
                  <c:v>44958</c:v>
                </c:pt>
                <c:pt idx="242">
                  <c:v>44986</c:v>
                </c:pt>
                <c:pt idx="243">
                  <c:v>45017</c:v>
                </c:pt>
                <c:pt idx="244">
                  <c:v>45047</c:v>
                </c:pt>
                <c:pt idx="245">
                  <c:v>45078</c:v>
                </c:pt>
                <c:pt idx="246">
                  <c:v>45108</c:v>
                </c:pt>
                <c:pt idx="247">
                  <c:v>45139</c:v>
                </c:pt>
                <c:pt idx="248">
                  <c:v>45170</c:v>
                </c:pt>
                <c:pt idx="249">
                  <c:v>45200</c:v>
                </c:pt>
                <c:pt idx="250">
                  <c:v>45231</c:v>
                </c:pt>
                <c:pt idx="251">
                  <c:v>45261</c:v>
                </c:pt>
                <c:pt idx="252">
                  <c:v>45292</c:v>
                </c:pt>
                <c:pt idx="253">
                  <c:v>45323</c:v>
                </c:pt>
                <c:pt idx="254">
                  <c:v>45352</c:v>
                </c:pt>
                <c:pt idx="255">
                  <c:v>45383</c:v>
                </c:pt>
                <c:pt idx="256">
                  <c:v>45413</c:v>
                </c:pt>
                <c:pt idx="257">
                  <c:v>45444</c:v>
                </c:pt>
                <c:pt idx="258">
                  <c:v>45474</c:v>
                </c:pt>
                <c:pt idx="259">
                  <c:v>45505</c:v>
                </c:pt>
                <c:pt idx="260">
                  <c:v>45536</c:v>
                </c:pt>
                <c:pt idx="261">
                  <c:v>45566</c:v>
                </c:pt>
                <c:pt idx="262">
                  <c:v>45597</c:v>
                </c:pt>
                <c:pt idx="263">
                  <c:v>45627</c:v>
                </c:pt>
                <c:pt idx="264">
                  <c:v>45658</c:v>
                </c:pt>
                <c:pt idx="265">
                  <c:v>45689</c:v>
                </c:pt>
                <c:pt idx="266">
                  <c:v>45717</c:v>
                </c:pt>
                <c:pt idx="267">
                  <c:v>45748</c:v>
                </c:pt>
                <c:pt idx="268">
                  <c:v>45778</c:v>
                </c:pt>
                <c:pt idx="269">
                  <c:v>45809</c:v>
                </c:pt>
                <c:pt idx="270">
                  <c:v>45839</c:v>
                </c:pt>
                <c:pt idx="271">
                  <c:v>45870</c:v>
                </c:pt>
                <c:pt idx="272">
                  <c:v>45901</c:v>
                </c:pt>
                <c:pt idx="273">
                  <c:v>45931</c:v>
                </c:pt>
                <c:pt idx="274">
                  <c:v>45962</c:v>
                </c:pt>
                <c:pt idx="275">
                  <c:v>45992</c:v>
                </c:pt>
                <c:pt idx="276">
                  <c:v>46023</c:v>
                </c:pt>
                <c:pt idx="277">
                  <c:v>46054</c:v>
                </c:pt>
                <c:pt idx="278">
                  <c:v>46082</c:v>
                </c:pt>
                <c:pt idx="279">
                  <c:v>46113</c:v>
                </c:pt>
                <c:pt idx="280">
                  <c:v>46143</c:v>
                </c:pt>
                <c:pt idx="281">
                  <c:v>46174</c:v>
                </c:pt>
              </c:numCache>
            </c:numRef>
          </c:cat>
          <c:val>
            <c:numRef>
              <c:f>'OilBrent Holt'!$G$7:$G$283</c:f>
              <c:numCache>
                <c:formatCode>General</c:formatCode>
                <c:ptCount val="277"/>
                <c:pt idx="0">
                  <c:v>30.808695652173899</c:v>
                </c:pt>
                <c:pt idx="1">
                  <c:v>32.662314619565223</c:v>
                </c:pt>
                <c:pt idx="2">
                  <c:v>30.186697323076825</c:v>
                </c:pt>
                <c:pt idx="3">
                  <c:v>25.029175060899234</c:v>
                </c:pt>
                <c:pt idx="4">
                  <c:v>25.657135005174499</c:v>
                </c:pt>
                <c:pt idx="5">
                  <c:v>27.515918968066014</c:v>
                </c:pt>
                <c:pt idx="6">
                  <c:v>28.472161862084992</c:v>
                </c:pt>
                <c:pt idx="7">
                  <c:v>29.696099404118513</c:v>
                </c:pt>
                <c:pt idx="8">
                  <c:v>27.034819609723819</c:v>
                </c:pt>
                <c:pt idx="9">
                  <c:v>29.399620706339224</c:v>
                </c:pt>
                <c:pt idx="10">
                  <c:v>28.936521970138749</c:v>
                </c:pt>
                <c:pt idx="11">
                  <c:v>29.726908328315783</c:v>
                </c:pt>
                <c:pt idx="12">
                  <c:v>30.973192321186342</c:v>
                </c:pt>
                <c:pt idx="13">
                  <c:v>30.798941057135384</c:v>
                </c:pt>
                <c:pt idx="14">
                  <c:v>33.426244419333528</c:v>
                </c:pt>
                <c:pt idx="15">
                  <c:v>33.385884785377996</c:v>
                </c:pt>
                <c:pt idx="16">
                  <c:v>37.616099643948971</c:v>
                </c:pt>
                <c:pt idx="17">
                  <c:v>35.507028763202392</c:v>
                </c:pt>
                <c:pt idx="18">
                  <c:v>38.274063969639208</c:v>
                </c:pt>
                <c:pt idx="19">
                  <c:v>42.298139588404219</c:v>
                </c:pt>
                <c:pt idx="20">
                  <c:v>43.429356262666587</c:v>
                </c:pt>
                <c:pt idx="21">
                  <c:v>49.85918465955168</c:v>
                </c:pt>
                <c:pt idx="22">
                  <c:v>43.935309943962416</c:v>
                </c:pt>
                <c:pt idx="23">
                  <c:v>40.091617237056958</c:v>
                </c:pt>
                <c:pt idx="24">
                  <c:v>44.260622075738603</c:v>
                </c:pt>
                <c:pt idx="25">
                  <c:v>45.847545579861311</c:v>
                </c:pt>
                <c:pt idx="26">
                  <c:v>53.369541635401035</c:v>
                </c:pt>
                <c:pt idx="27">
                  <c:v>52.818589289045477</c:v>
                </c:pt>
                <c:pt idx="28">
                  <c:v>49.492458874477471</c:v>
                </c:pt>
                <c:pt idx="29">
                  <c:v>55.010229227474497</c:v>
                </c:pt>
                <c:pt idx="30">
                  <c:v>57.850057375938114</c:v>
                </c:pt>
                <c:pt idx="31">
                  <c:v>64.200322685674351</c:v>
                </c:pt>
                <c:pt idx="32">
                  <c:v>63.572349209400876</c:v>
                </c:pt>
                <c:pt idx="33">
                  <c:v>59.210633788893652</c:v>
                </c:pt>
                <c:pt idx="34">
                  <c:v>55.705346145892797</c:v>
                </c:pt>
                <c:pt idx="35">
                  <c:v>57.374862842618427</c:v>
                </c:pt>
                <c:pt idx="36">
                  <c:v>63.54378386744375</c:v>
                </c:pt>
                <c:pt idx="37">
                  <c:v>61.097109067404404</c:v>
                </c:pt>
                <c:pt idx="38">
                  <c:v>63.011017765723622</c:v>
                </c:pt>
                <c:pt idx="39">
                  <c:v>70.619826820304453</c:v>
                </c:pt>
                <c:pt idx="40">
                  <c:v>70.863127625329241</c:v>
                </c:pt>
                <c:pt idx="41">
                  <c:v>69.584919669888663</c:v>
                </c:pt>
                <c:pt idx="42">
                  <c:v>74.376395171316631</c:v>
                </c:pt>
                <c:pt idx="43">
                  <c:v>73.88052549612253</c:v>
                </c:pt>
                <c:pt idx="44">
                  <c:v>62.899609305033451</c:v>
                </c:pt>
                <c:pt idx="45">
                  <c:v>59.017528582431332</c:v>
                </c:pt>
                <c:pt idx="46">
                  <c:v>59.440639242239193</c:v>
                </c:pt>
                <c:pt idx="47">
                  <c:v>62.480158163196229</c:v>
                </c:pt>
                <c:pt idx="48">
                  <c:v>54.751721531931793</c:v>
                </c:pt>
                <c:pt idx="49">
                  <c:v>58.138085128974822</c:v>
                </c:pt>
                <c:pt idx="50">
                  <c:v>62.557613722168384</c:v>
                </c:pt>
                <c:pt idx="51">
                  <c:v>67.932495775107938</c:v>
                </c:pt>
                <c:pt idx="52">
                  <c:v>68.011195763240224</c:v>
                </c:pt>
                <c:pt idx="53">
                  <c:v>70.910009813264239</c:v>
                </c:pt>
                <c:pt idx="54">
                  <c:v>76.449700213756003</c:v>
                </c:pt>
                <c:pt idx="55">
                  <c:v>71.682307259557717</c:v>
                </c:pt>
                <c:pt idx="56">
                  <c:v>77.089388244667944</c:v>
                </c:pt>
                <c:pt idx="57">
                  <c:v>82.8751346761142</c:v>
                </c:pt>
                <c:pt idx="58">
                  <c:v>93.152301415830763</c:v>
                </c:pt>
                <c:pt idx="59">
                  <c:v>92.039187156354089</c:v>
                </c:pt>
                <c:pt idx="60">
                  <c:v>92.595069446004516</c:v>
                </c:pt>
                <c:pt idx="61">
                  <c:v>95.226024056540879</c:v>
                </c:pt>
                <c:pt idx="62">
                  <c:v>103.6860273930572</c:v>
                </c:pt>
                <c:pt idx="63">
                  <c:v>110.63602854094533</c:v>
                </c:pt>
                <c:pt idx="64">
                  <c:v>124.52726836986892</c:v>
                </c:pt>
                <c:pt idx="65">
                  <c:v>133.55691095415415</c:v>
                </c:pt>
                <c:pt idx="66">
                  <c:v>134.4639814025445</c:v>
                </c:pt>
                <c:pt idx="67">
                  <c:v>114.6815896166092</c:v>
                </c:pt>
                <c:pt idx="68">
                  <c:v>99.431525532974135</c:v>
                </c:pt>
                <c:pt idx="69">
                  <c:v>72.48303470240478</c:v>
                </c:pt>
                <c:pt idx="70">
                  <c:v>52.960352922284493</c:v>
                </c:pt>
                <c:pt idx="71">
                  <c:v>40.562141567074327</c:v>
                </c:pt>
                <c:pt idx="72">
                  <c:v>43.100200512877784</c:v>
                </c:pt>
                <c:pt idx="73">
                  <c:v>42.862298067258379</c:v>
                </c:pt>
                <c:pt idx="74">
                  <c:v>46.53225629193625</c:v>
                </c:pt>
                <c:pt idx="75">
                  <c:v>50.505425536892929</c:v>
                </c:pt>
                <c:pt idx="76">
                  <c:v>57.526931945098617</c:v>
                </c:pt>
                <c:pt idx="77">
                  <c:v>68.674358097209975</c:v>
                </c:pt>
                <c:pt idx="78">
                  <c:v>65.109613604873033</c:v>
                </c:pt>
                <c:pt idx="79">
                  <c:v>72.758722208863887</c:v>
                </c:pt>
                <c:pt idx="80">
                  <c:v>67.755346730750375</c:v>
                </c:pt>
                <c:pt idx="81">
                  <c:v>73.157824543334769</c:v>
                </c:pt>
                <c:pt idx="82">
                  <c:v>77.177609858481574</c:v>
                </c:pt>
                <c:pt idx="83">
                  <c:v>75.068535634903725</c:v>
                </c:pt>
                <c:pt idx="84">
                  <c:v>76.857317538950653</c:v>
                </c:pt>
                <c:pt idx="85">
                  <c:v>74.173570471498422</c:v>
                </c:pt>
                <c:pt idx="86">
                  <c:v>79.759623174895182</c:v>
                </c:pt>
                <c:pt idx="87">
                  <c:v>85.449772302062883</c:v>
                </c:pt>
                <c:pt idx="88">
                  <c:v>76.480688761829825</c:v>
                </c:pt>
                <c:pt idx="89">
                  <c:v>75.501620964828248</c:v>
                </c:pt>
                <c:pt idx="90">
                  <c:v>75.437944739306388</c:v>
                </c:pt>
                <c:pt idx="91">
                  <c:v>77.131551324132047</c:v>
                </c:pt>
                <c:pt idx="92">
                  <c:v>78.192373031871469</c:v>
                </c:pt>
                <c:pt idx="93">
                  <c:v>83.600314327361886</c:v>
                </c:pt>
                <c:pt idx="94">
                  <c:v>86.113893914190129</c:v>
                </c:pt>
                <c:pt idx="95">
                  <c:v>92.294406160307915</c:v>
                </c:pt>
                <c:pt idx="96">
                  <c:v>97.344782376067812</c:v>
                </c:pt>
                <c:pt idx="97">
                  <c:v>104.67679179984526</c:v>
                </c:pt>
                <c:pt idx="98">
                  <c:v>115.42359622048113</c:v>
                </c:pt>
                <c:pt idx="99">
                  <c:v>123.93353498508661</c:v>
                </c:pt>
                <c:pt idx="100">
                  <c:v>115.617287733523</c:v>
                </c:pt>
                <c:pt idx="101">
                  <c:v>114.9682816124454</c:v>
                </c:pt>
                <c:pt idx="102">
                  <c:v>118.06844056327161</c:v>
                </c:pt>
                <c:pt idx="103">
                  <c:v>110.96581172163795</c:v>
                </c:pt>
                <c:pt idx="104">
                  <c:v>112.49652011456907</c:v>
                </c:pt>
                <c:pt idx="105">
                  <c:v>110.97349250650647</c:v>
                </c:pt>
                <c:pt idx="106">
                  <c:v>111.68191658318329</c:v>
                </c:pt>
                <c:pt idx="107">
                  <c:v>108.87319234977663</c:v>
                </c:pt>
                <c:pt idx="108">
                  <c:v>111.90686900318005</c:v>
                </c:pt>
                <c:pt idx="109">
                  <c:v>119.68227548086803</c:v>
                </c:pt>
                <c:pt idx="110">
                  <c:v>125.29182937552663</c:v>
                </c:pt>
                <c:pt idx="111">
                  <c:v>121.10933880365631</c:v>
                </c:pt>
                <c:pt idx="112">
                  <c:v>111.41432313943311</c:v>
                </c:pt>
                <c:pt idx="113">
                  <c:v>96.379877724083627</c:v>
                </c:pt>
                <c:pt idx="114">
                  <c:v>103.31446283760413</c:v>
                </c:pt>
                <c:pt idx="115">
                  <c:v>114.18030224577723</c:v>
                </c:pt>
                <c:pt idx="116">
                  <c:v>114.14608106284285</c:v>
                </c:pt>
                <c:pt idx="117">
                  <c:v>112.29203708327479</c:v>
                </c:pt>
                <c:pt idx="118">
                  <c:v>110.38794986765902</c:v>
                </c:pt>
                <c:pt idx="119">
                  <c:v>110.02145900609831</c:v>
                </c:pt>
                <c:pt idx="120">
                  <c:v>112.9717978148131</c:v>
                </c:pt>
                <c:pt idx="121">
                  <c:v>116.95668377844717</c:v>
                </c:pt>
                <c:pt idx="122">
                  <c:v>110.09029718296232</c:v>
                </c:pt>
                <c:pt idx="123">
                  <c:v>103.39158623203828</c:v>
                </c:pt>
                <c:pt idx="124">
                  <c:v>103.34075915796258</c:v>
                </c:pt>
                <c:pt idx="125">
                  <c:v>103.71471108677609</c:v>
                </c:pt>
                <c:pt idx="126">
                  <c:v>108.1355472271744</c:v>
                </c:pt>
                <c:pt idx="127">
                  <c:v>111.45452010581143</c:v>
                </c:pt>
                <c:pt idx="128">
                  <c:v>112.3883709426938</c:v>
                </c:pt>
                <c:pt idx="129">
                  <c:v>110.0495697899093</c:v>
                </c:pt>
                <c:pt idx="130">
                  <c:v>108.55384348466703</c:v>
                </c:pt>
                <c:pt idx="131">
                  <c:v>111.45457924254463</c:v>
                </c:pt>
                <c:pt idx="132">
                  <c:v>108.33660009170958</c:v>
                </c:pt>
                <c:pt idx="133">
                  <c:v>109.21231720277069</c:v>
                </c:pt>
                <c:pt idx="134">
                  <c:v>108.24756086214606</c:v>
                </c:pt>
                <c:pt idx="135">
                  <c:v>108.36968416049015</c:v>
                </c:pt>
                <c:pt idx="136">
                  <c:v>110.19573502028437</c:v>
                </c:pt>
                <c:pt idx="137">
                  <c:v>112.61883603789612</c:v>
                </c:pt>
                <c:pt idx="138">
                  <c:v>107.86146014893701</c:v>
                </c:pt>
                <c:pt idx="139">
                  <c:v>102.7497398973053</c:v>
                </c:pt>
                <c:pt idx="140">
                  <c:v>98.146456555520601</c:v>
                </c:pt>
                <c:pt idx="141">
                  <c:v>87.830597932637914</c:v>
                </c:pt>
                <c:pt idx="142">
                  <c:v>79.370558694267345</c:v>
                </c:pt>
                <c:pt idx="143">
                  <c:v>62.960607422984225</c:v>
                </c:pt>
                <c:pt idx="144">
                  <c:v>48.826612483740419</c:v>
                </c:pt>
                <c:pt idx="145">
                  <c:v>58.00621367075896</c:v>
                </c:pt>
                <c:pt idx="146">
                  <c:v>56.371181167288583</c:v>
                </c:pt>
                <c:pt idx="147">
                  <c:v>59.657837148697752</c:v>
                </c:pt>
                <c:pt idx="148">
                  <c:v>65.059281263596901</c:v>
                </c:pt>
                <c:pt idx="149">
                  <c:v>62.541075391664862</c:v>
                </c:pt>
                <c:pt idx="150">
                  <c:v>56.726818947437614</c:v>
                </c:pt>
                <c:pt idx="151">
                  <c:v>47.374867453055451</c:v>
                </c:pt>
                <c:pt idx="152">
                  <c:v>47.779516821754925</c:v>
                </c:pt>
                <c:pt idx="153">
                  <c:v>48.66186909890655</c:v>
                </c:pt>
                <c:pt idx="154">
                  <c:v>44.862368689027512</c:v>
                </c:pt>
                <c:pt idx="155">
                  <c:v>38.25731539018679</c:v>
                </c:pt>
                <c:pt idx="156">
                  <c:v>31.714585788872853</c:v>
                </c:pt>
                <c:pt idx="157">
                  <c:v>33.369403093549813</c:v>
                </c:pt>
                <c:pt idx="158">
                  <c:v>39.419031728765454</c:v>
                </c:pt>
                <c:pt idx="159">
                  <c:v>43.021170569946911</c:v>
                </c:pt>
                <c:pt idx="160">
                  <c:v>47.464337441144913</c:v>
                </c:pt>
                <c:pt idx="161">
                  <c:v>49.653507169189531</c:v>
                </c:pt>
                <c:pt idx="162">
                  <c:v>46.399240716923572</c:v>
                </c:pt>
                <c:pt idx="163">
                  <c:v>46.822228550669777</c:v>
                </c:pt>
                <c:pt idx="164">
                  <c:v>47.153346692442568</c:v>
                </c:pt>
                <c:pt idx="165">
                  <c:v>51.195457884462307</c:v>
                </c:pt>
                <c:pt idx="166">
                  <c:v>46.766951034754896</c:v>
                </c:pt>
                <c:pt idx="167">
                  <c:v>54.80404815101371</c:v>
                </c:pt>
                <c:pt idx="168">
                  <c:v>55.574697045481237</c:v>
                </c:pt>
                <c:pt idx="169">
                  <c:v>55.968804433675736</c:v>
                </c:pt>
                <c:pt idx="170">
                  <c:v>52.533566213229463</c:v>
                </c:pt>
                <c:pt idx="171">
                  <c:v>53.823068508122773</c:v>
                </c:pt>
                <c:pt idx="172">
                  <c:v>51.234105544145578</c:v>
                </c:pt>
                <c:pt idx="173">
                  <c:v>47.48835592179266</c:v>
                </c:pt>
                <c:pt idx="174">
                  <c:v>49.052971701943434</c:v>
                </c:pt>
                <c:pt idx="175">
                  <c:v>51.744826744243539</c:v>
                </c:pt>
                <c:pt idx="176">
                  <c:v>55.402986969525827</c:v>
                </c:pt>
                <c:pt idx="177">
                  <c:v>57.4196461436375</c:v>
                </c:pt>
                <c:pt idx="178">
                  <c:v>62.7404382385566</c:v>
                </c:pt>
                <c:pt idx="179">
                  <c:v>64.022395106658394</c:v>
                </c:pt>
                <c:pt idx="180">
                  <c:v>68.859991628379774</c:v>
                </c:pt>
                <c:pt idx="181">
                  <c:v>65.71634489604125</c:v>
                </c:pt>
                <c:pt idx="182">
                  <c:v>66.879910614246967</c:v>
                </c:pt>
                <c:pt idx="183">
                  <c:v>71.932199013490887</c:v>
                </c:pt>
                <c:pt idx="184">
                  <c:v>76.983718947125539</c:v>
                </c:pt>
                <c:pt idx="185">
                  <c:v>75.902367838202125</c:v>
                </c:pt>
                <c:pt idx="186">
                  <c:v>75.316860314086128</c:v>
                </c:pt>
                <c:pt idx="187">
                  <c:v>73.932487539126754</c:v>
                </c:pt>
                <c:pt idx="188">
                  <c:v>79.229004580392058</c:v>
                </c:pt>
                <c:pt idx="189">
                  <c:v>80.901632518502254</c:v>
                </c:pt>
                <c:pt idx="190">
                  <c:v>66.363802657689305</c:v>
                </c:pt>
                <c:pt idx="191">
                  <c:v>57.937373141341503</c:v>
                </c:pt>
                <c:pt idx="192">
                  <c:v>59.849702696799227</c:v>
                </c:pt>
                <c:pt idx="193">
                  <c:v>64.308540753046856</c:v>
                </c:pt>
                <c:pt idx="194">
                  <c:v>66.911525151582666</c:v>
                </c:pt>
                <c:pt idx="195">
                  <c:v>71.471406682281625</c:v>
                </c:pt>
                <c:pt idx="196">
                  <c:v>70.430380093173241</c:v>
                </c:pt>
                <c:pt idx="197">
                  <c:v>63.239649083924959</c:v>
                </c:pt>
                <c:pt idx="198">
                  <c:v>64.280995943553719</c:v>
                </c:pt>
                <c:pt idx="199">
                  <c:v>59.588295378395841</c:v>
                </c:pt>
                <c:pt idx="200">
                  <c:v>62.354153534212358</c:v>
                </c:pt>
                <c:pt idx="201">
                  <c:v>59.583204356030272</c:v>
                </c:pt>
                <c:pt idx="202">
                  <c:v>62.611027836775939</c:v>
                </c:pt>
                <c:pt idx="203">
                  <c:v>65.303303895999363</c:v>
                </c:pt>
                <c:pt idx="204">
                  <c:v>63.881329730629901</c:v>
                </c:pt>
                <c:pt idx="205">
                  <c:v>55.660407028990811</c:v>
                </c:pt>
                <c:pt idx="206">
                  <c:v>33.836947772387376</c:v>
                </c:pt>
                <c:pt idx="207">
                  <c:v>26.521878896874675</c:v>
                </c:pt>
                <c:pt idx="208">
                  <c:v>32.025150321326215</c:v>
                </c:pt>
                <c:pt idx="209">
                  <c:v>40.521345404532468</c:v>
                </c:pt>
                <c:pt idx="210">
                  <c:v>43.044618644555307</c:v>
                </c:pt>
                <c:pt idx="211">
                  <c:v>44.857934428771927</c:v>
                </c:pt>
                <c:pt idx="212">
                  <c:v>41.723985250054959</c:v>
                </c:pt>
                <c:pt idx="213">
                  <c:v>41.374685804292241</c:v>
                </c:pt>
                <c:pt idx="214">
                  <c:v>43.816428420372198</c:v>
                </c:pt>
                <c:pt idx="215">
                  <c:v>50.169482031258248</c:v>
                </c:pt>
                <c:pt idx="216">
                  <c:v>55.08238716730736</c:v>
                </c:pt>
                <c:pt idx="217">
                  <c:v>62.269950049997227</c:v>
                </c:pt>
                <c:pt idx="218">
                  <c:v>65.775985521155206</c:v>
                </c:pt>
                <c:pt idx="219">
                  <c:v>65.547002532250772</c:v>
                </c:pt>
                <c:pt idx="220">
                  <c:v>68.387697948721112</c:v>
                </c:pt>
                <c:pt idx="221">
                  <c:v>73.552956978907687</c:v>
                </c:pt>
                <c:pt idx="222">
                  <c:v>74.494576795118419</c:v>
                </c:pt>
                <c:pt idx="223">
                  <c:v>70.688469683008833</c:v>
                </c:pt>
                <c:pt idx="224">
                  <c:v>74.81036326202593</c:v>
                </c:pt>
                <c:pt idx="225">
                  <c:v>83.965761172950664</c:v>
                </c:pt>
                <c:pt idx="226">
                  <c:v>81.081833902161947</c:v>
                </c:pt>
                <c:pt idx="227">
                  <c:v>74.839527517300937</c:v>
                </c:pt>
                <c:pt idx="228">
                  <c:v>85.718533584447158</c:v>
                </c:pt>
                <c:pt idx="229">
                  <c:v>94.470126319775503</c:v>
                </c:pt>
                <c:pt idx="230">
                  <c:v>112.72681399656302</c:v>
                </c:pt>
                <c:pt idx="231">
                  <c:v>106.62288412905035</c:v>
                </c:pt>
                <c:pt idx="232">
                  <c:v>112.51454613464041</c:v>
                </c:pt>
                <c:pt idx="233">
                  <c:v>118.14802674796346</c:v>
                </c:pt>
                <c:pt idx="234">
                  <c:v>105.76122794643483</c:v>
                </c:pt>
                <c:pt idx="235">
                  <c:v>98.023274404234371</c:v>
                </c:pt>
                <c:pt idx="236">
                  <c:v>90.907972408732249</c:v>
                </c:pt>
                <c:pt idx="237">
                  <c:v>93.943930033359322</c:v>
                </c:pt>
                <c:pt idx="238">
                  <c:v>91.192401487989599</c:v>
                </c:pt>
                <c:pt idx="239">
                  <c:v>81.72786292780485</c:v>
                </c:pt>
                <c:pt idx="240">
                  <c:v>84.20937169921767</c:v>
                </c:pt>
                <c:pt idx="241">
                  <c:v>83.783650757109513</c:v>
                </c:pt>
                <c:pt idx="242">
                  <c:v>79.40235649214965</c:v>
                </c:pt>
                <c:pt idx="243">
                  <c:v>83.636150098488685</c:v>
                </c:pt>
                <c:pt idx="244">
                  <c:v>75.889666713794384</c:v>
                </c:pt>
                <c:pt idx="245">
                  <c:v>75.038479288176447</c:v>
                </c:pt>
                <c:pt idx="246">
                  <c:v>80.162873183253112</c:v>
                </c:pt>
                <c:pt idx="247">
                  <c:v>85.272291578310814</c:v>
                </c:pt>
                <c:pt idx="248">
                  <c:v>92.826677814766526</c:v>
                </c:pt>
                <c:pt idx="249">
                  <c:v>89.175470066764859</c:v>
                </c:pt>
                <c:pt idx="250">
                  <c:v>82.376015835623903</c:v>
                </c:pt>
                <c:pt idx="251">
                  <c:v>77.661197022254044</c:v>
                </c:pt>
                <c:pt idx="252">
                  <c:v>79.181749126457262</c:v>
                </c:pt>
                <c:pt idx="253">
                  <c:v>81.881690045433089</c:v>
                </c:pt>
                <c:pt idx="254">
                  <c:v>85.073236008887278</c:v>
                </c:pt>
                <c:pt idx="255">
                  <c:v>89.116760146319564</c:v>
                </c:pt>
                <c:pt idx="256">
                  <c:v>83.235747114419226</c:v>
                </c:pt>
                <c:pt idx="257">
                  <c:v>83.038737424624046</c:v>
                </c:pt>
                <c:pt idx="258">
                  <c:v>84.166649609830998</c:v>
                </c:pt>
                <c:pt idx="259">
                  <c:v>79.147204704893525</c:v>
                </c:pt>
                <c:pt idx="260">
                  <c:v>73.135316214980008</c:v>
                </c:pt>
                <c:pt idx="261">
                  <c:v>75.283109929366233</c:v>
                </c:pt>
                <c:pt idx="262">
                  <c:v>73.546649127898817</c:v>
                </c:pt>
                <c:pt idx="263">
                  <c:v>73.248091479232187</c:v>
                </c:pt>
                <c:pt idx="264">
                  <c:v>78.210593449275052</c:v>
                </c:pt>
                <c:pt idx="265">
                  <c:v>75.259440380784227</c:v>
                </c:pt>
                <c:pt idx="266">
                  <c:v>71.778044818900923</c:v>
                </c:pt>
                <c:pt idx="267">
                  <c:v>66.929193933860716</c:v>
                </c:pt>
                <c:pt idx="268">
                  <c:v>64.046424405065068</c:v>
                </c:pt>
                <c:pt idx="269">
                  <c:v>69.771419108166967</c:v>
                </c:pt>
                <c:pt idx="270">
                  <c:v>69.54755813646193</c:v>
                </c:pt>
                <c:pt idx="271">
                  <c:v>67.225225204299534</c:v>
                </c:pt>
                <c:pt idx="272">
                  <c:v>67.566959288312475</c:v>
                </c:pt>
                <c:pt idx="273">
                  <c:v>63.943369949589552</c:v>
                </c:pt>
                <c:pt idx="274">
                  <c:v>63.619734039353645</c:v>
                </c:pt>
                <c:pt idx="275">
                  <c:v>61.734825313261588</c:v>
                </c:pt>
                <c:pt idx="276">
                  <c:v>64.499632955399463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C7-4623-8149-FFF3D07CC022}"/>
            </c:ext>
          </c:extLst>
        </c:ser>
        <c:ser>
          <c:idx val="2"/>
          <c:order val="2"/>
          <c:tx>
            <c:strRef>
              <c:f>'OilBrent Holt'!$H$6</c:f>
              <c:strCache>
                <c:ptCount val="1"/>
                <c:pt idx="0">
                  <c:v>Pronóstico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'OilBrent Holt'!$B$7:$B$288</c:f>
              <c:numCache>
                <c:formatCode>yyyy\-mm\-dd</c:formatCode>
                <c:ptCount val="282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  <c:pt idx="36">
                  <c:v>38718</c:v>
                </c:pt>
                <c:pt idx="37">
                  <c:v>38749</c:v>
                </c:pt>
                <c:pt idx="38">
                  <c:v>38777</c:v>
                </c:pt>
                <c:pt idx="39">
                  <c:v>38808</c:v>
                </c:pt>
                <c:pt idx="40">
                  <c:v>38838</c:v>
                </c:pt>
                <c:pt idx="41">
                  <c:v>38869</c:v>
                </c:pt>
                <c:pt idx="42">
                  <c:v>38899</c:v>
                </c:pt>
                <c:pt idx="43">
                  <c:v>38930</c:v>
                </c:pt>
                <c:pt idx="44">
                  <c:v>38961</c:v>
                </c:pt>
                <c:pt idx="45">
                  <c:v>38991</c:v>
                </c:pt>
                <c:pt idx="46">
                  <c:v>39022</c:v>
                </c:pt>
                <c:pt idx="47">
                  <c:v>39052</c:v>
                </c:pt>
                <c:pt idx="48">
                  <c:v>39083</c:v>
                </c:pt>
                <c:pt idx="49">
                  <c:v>39114</c:v>
                </c:pt>
                <c:pt idx="50">
                  <c:v>39142</c:v>
                </c:pt>
                <c:pt idx="51">
                  <c:v>39173</c:v>
                </c:pt>
                <c:pt idx="52">
                  <c:v>39203</c:v>
                </c:pt>
                <c:pt idx="53">
                  <c:v>39234</c:v>
                </c:pt>
                <c:pt idx="54">
                  <c:v>39264</c:v>
                </c:pt>
                <c:pt idx="55">
                  <c:v>39295</c:v>
                </c:pt>
                <c:pt idx="56">
                  <c:v>39326</c:v>
                </c:pt>
                <c:pt idx="57">
                  <c:v>39356</c:v>
                </c:pt>
                <c:pt idx="58">
                  <c:v>39387</c:v>
                </c:pt>
                <c:pt idx="59">
                  <c:v>39417</c:v>
                </c:pt>
                <c:pt idx="60">
                  <c:v>39448</c:v>
                </c:pt>
                <c:pt idx="61">
                  <c:v>39479</c:v>
                </c:pt>
                <c:pt idx="62">
                  <c:v>39508</c:v>
                </c:pt>
                <c:pt idx="63">
                  <c:v>39539</c:v>
                </c:pt>
                <c:pt idx="64">
                  <c:v>39569</c:v>
                </c:pt>
                <c:pt idx="65">
                  <c:v>39600</c:v>
                </c:pt>
                <c:pt idx="66">
                  <c:v>39630</c:v>
                </c:pt>
                <c:pt idx="67">
                  <c:v>39661</c:v>
                </c:pt>
                <c:pt idx="68">
                  <c:v>39692</c:v>
                </c:pt>
                <c:pt idx="69">
                  <c:v>39722</c:v>
                </c:pt>
                <c:pt idx="70">
                  <c:v>39753</c:v>
                </c:pt>
                <c:pt idx="71">
                  <c:v>39783</c:v>
                </c:pt>
                <c:pt idx="72">
                  <c:v>39814</c:v>
                </c:pt>
                <c:pt idx="73">
                  <c:v>39845</c:v>
                </c:pt>
                <c:pt idx="74">
                  <c:v>39873</c:v>
                </c:pt>
                <c:pt idx="75">
                  <c:v>39904</c:v>
                </c:pt>
                <c:pt idx="76">
                  <c:v>39934</c:v>
                </c:pt>
                <c:pt idx="77">
                  <c:v>39965</c:v>
                </c:pt>
                <c:pt idx="78">
                  <c:v>39995</c:v>
                </c:pt>
                <c:pt idx="79">
                  <c:v>40026</c:v>
                </c:pt>
                <c:pt idx="80">
                  <c:v>40057</c:v>
                </c:pt>
                <c:pt idx="81">
                  <c:v>40087</c:v>
                </c:pt>
                <c:pt idx="82">
                  <c:v>40118</c:v>
                </c:pt>
                <c:pt idx="83">
                  <c:v>40148</c:v>
                </c:pt>
                <c:pt idx="84">
                  <c:v>40179</c:v>
                </c:pt>
                <c:pt idx="85">
                  <c:v>40210</c:v>
                </c:pt>
                <c:pt idx="86">
                  <c:v>40238</c:v>
                </c:pt>
                <c:pt idx="87">
                  <c:v>40269</c:v>
                </c:pt>
                <c:pt idx="88">
                  <c:v>40299</c:v>
                </c:pt>
                <c:pt idx="89">
                  <c:v>40330</c:v>
                </c:pt>
                <c:pt idx="90">
                  <c:v>40360</c:v>
                </c:pt>
                <c:pt idx="91">
                  <c:v>40391</c:v>
                </c:pt>
                <c:pt idx="92">
                  <c:v>40422</c:v>
                </c:pt>
                <c:pt idx="93">
                  <c:v>40452</c:v>
                </c:pt>
                <c:pt idx="94">
                  <c:v>40483</c:v>
                </c:pt>
                <c:pt idx="95">
                  <c:v>40513</c:v>
                </c:pt>
                <c:pt idx="96">
                  <c:v>40544</c:v>
                </c:pt>
                <c:pt idx="97">
                  <c:v>40575</c:v>
                </c:pt>
                <c:pt idx="98">
                  <c:v>40603</c:v>
                </c:pt>
                <c:pt idx="99">
                  <c:v>40634</c:v>
                </c:pt>
                <c:pt idx="100">
                  <c:v>40664</c:v>
                </c:pt>
                <c:pt idx="101">
                  <c:v>40695</c:v>
                </c:pt>
                <c:pt idx="102">
                  <c:v>40725</c:v>
                </c:pt>
                <c:pt idx="103">
                  <c:v>40756</c:v>
                </c:pt>
                <c:pt idx="104">
                  <c:v>40787</c:v>
                </c:pt>
                <c:pt idx="105">
                  <c:v>40817</c:v>
                </c:pt>
                <c:pt idx="106">
                  <c:v>40848</c:v>
                </c:pt>
                <c:pt idx="107">
                  <c:v>40878</c:v>
                </c:pt>
                <c:pt idx="108">
                  <c:v>40909</c:v>
                </c:pt>
                <c:pt idx="109">
                  <c:v>40940</c:v>
                </c:pt>
                <c:pt idx="110">
                  <c:v>40969</c:v>
                </c:pt>
                <c:pt idx="111">
                  <c:v>41000</c:v>
                </c:pt>
                <c:pt idx="112">
                  <c:v>41030</c:v>
                </c:pt>
                <c:pt idx="113">
                  <c:v>41061</c:v>
                </c:pt>
                <c:pt idx="114">
                  <c:v>41091</c:v>
                </c:pt>
                <c:pt idx="115">
                  <c:v>41122</c:v>
                </c:pt>
                <c:pt idx="116">
                  <c:v>41153</c:v>
                </c:pt>
                <c:pt idx="117">
                  <c:v>41183</c:v>
                </c:pt>
                <c:pt idx="118">
                  <c:v>41214</c:v>
                </c:pt>
                <c:pt idx="119">
                  <c:v>41244</c:v>
                </c:pt>
                <c:pt idx="120">
                  <c:v>41275</c:v>
                </c:pt>
                <c:pt idx="121">
                  <c:v>41306</c:v>
                </c:pt>
                <c:pt idx="122">
                  <c:v>41334</c:v>
                </c:pt>
                <c:pt idx="123">
                  <c:v>41365</c:v>
                </c:pt>
                <c:pt idx="124">
                  <c:v>41395</c:v>
                </c:pt>
                <c:pt idx="125">
                  <c:v>41426</c:v>
                </c:pt>
                <c:pt idx="126">
                  <c:v>41456</c:v>
                </c:pt>
                <c:pt idx="127">
                  <c:v>41487</c:v>
                </c:pt>
                <c:pt idx="128">
                  <c:v>41518</c:v>
                </c:pt>
                <c:pt idx="129">
                  <c:v>41548</c:v>
                </c:pt>
                <c:pt idx="130">
                  <c:v>41579</c:v>
                </c:pt>
                <c:pt idx="131">
                  <c:v>41609</c:v>
                </c:pt>
                <c:pt idx="132">
                  <c:v>41640</c:v>
                </c:pt>
                <c:pt idx="133">
                  <c:v>41671</c:v>
                </c:pt>
                <c:pt idx="134">
                  <c:v>41699</c:v>
                </c:pt>
                <c:pt idx="135">
                  <c:v>41730</c:v>
                </c:pt>
                <c:pt idx="136">
                  <c:v>41760</c:v>
                </c:pt>
                <c:pt idx="137">
                  <c:v>41791</c:v>
                </c:pt>
                <c:pt idx="138">
                  <c:v>41821</c:v>
                </c:pt>
                <c:pt idx="139">
                  <c:v>41852</c:v>
                </c:pt>
                <c:pt idx="140">
                  <c:v>41883</c:v>
                </c:pt>
                <c:pt idx="141">
                  <c:v>41913</c:v>
                </c:pt>
                <c:pt idx="142">
                  <c:v>41944</c:v>
                </c:pt>
                <c:pt idx="143">
                  <c:v>41974</c:v>
                </c:pt>
                <c:pt idx="144">
                  <c:v>42005</c:v>
                </c:pt>
                <c:pt idx="145">
                  <c:v>42036</c:v>
                </c:pt>
                <c:pt idx="146">
                  <c:v>42064</c:v>
                </c:pt>
                <c:pt idx="147">
                  <c:v>42095</c:v>
                </c:pt>
                <c:pt idx="148">
                  <c:v>42125</c:v>
                </c:pt>
                <c:pt idx="149">
                  <c:v>42156</c:v>
                </c:pt>
                <c:pt idx="150">
                  <c:v>42186</c:v>
                </c:pt>
                <c:pt idx="151">
                  <c:v>42217</c:v>
                </c:pt>
                <c:pt idx="152">
                  <c:v>42248</c:v>
                </c:pt>
                <c:pt idx="153">
                  <c:v>42278</c:v>
                </c:pt>
                <c:pt idx="154">
                  <c:v>42309</c:v>
                </c:pt>
                <c:pt idx="155">
                  <c:v>42339</c:v>
                </c:pt>
                <c:pt idx="156">
                  <c:v>42370</c:v>
                </c:pt>
                <c:pt idx="157">
                  <c:v>42401</c:v>
                </c:pt>
                <c:pt idx="158">
                  <c:v>42430</c:v>
                </c:pt>
                <c:pt idx="159">
                  <c:v>42461</c:v>
                </c:pt>
                <c:pt idx="160">
                  <c:v>42491</c:v>
                </c:pt>
                <c:pt idx="161">
                  <c:v>42522</c:v>
                </c:pt>
                <c:pt idx="162">
                  <c:v>42552</c:v>
                </c:pt>
                <c:pt idx="163">
                  <c:v>42583</c:v>
                </c:pt>
                <c:pt idx="164">
                  <c:v>42614</c:v>
                </c:pt>
                <c:pt idx="165">
                  <c:v>42644</c:v>
                </c:pt>
                <c:pt idx="166">
                  <c:v>42675</c:v>
                </c:pt>
                <c:pt idx="167">
                  <c:v>42705</c:v>
                </c:pt>
                <c:pt idx="168">
                  <c:v>42736</c:v>
                </c:pt>
                <c:pt idx="169">
                  <c:v>42767</c:v>
                </c:pt>
                <c:pt idx="170">
                  <c:v>42795</c:v>
                </c:pt>
                <c:pt idx="171">
                  <c:v>42826</c:v>
                </c:pt>
                <c:pt idx="172">
                  <c:v>42856</c:v>
                </c:pt>
                <c:pt idx="173">
                  <c:v>42887</c:v>
                </c:pt>
                <c:pt idx="174">
                  <c:v>42917</c:v>
                </c:pt>
                <c:pt idx="175">
                  <c:v>42948</c:v>
                </c:pt>
                <c:pt idx="176">
                  <c:v>42979</c:v>
                </c:pt>
                <c:pt idx="177">
                  <c:v>43009</c:v>
                </c:pt>
                <c:pt idx="178">
                  <c:v>43040</c:v>
                </c:pt>
                <c:pt idx="179">
                  <c:v>43070</c:v>
                </c:pt>
                <c:pt idx="180">
                  <c:v>43101</c:v>
                </c:pt>
                <c:pt idx="181">
                  <c:v>43132</c:v>
                </c:pt>
                <c:pt idx="182">
                  <c:v>43160</c:v>
                </c:pt>
                <c:pt idx="183">
                  <c:v>43191</c:v>
                </c:pt>
                <c:pt idx="184">
                  <c:v>43221</c:v>
                </c:pt>
                <c:pt idx="185">
                  <c:v>43252</c:v>
                </c:pt>
                <c:pt idx="186">
                  <c:v>43282</c:v>
                </c:pt>
                <c:pt idx="187">
                  <c:v>43313</c:v>
                </c:pt>
                <c:pt idx="188">
                  <c:v>43344</c:v>
                </c:pt>
                <c:pt idx="189">
                  <c:v>43374</c:v>
                </c:pt>
                <c:pt idx="190">
                  <c:v>43405</c:v>
                </c:pt>
                <c:pt idx="191">
                  <c:v>43435</c:v>
                </c:pt>
                <c:pt idx="192">
                  <c:v>43466</c:v>
                </c:pt>
                <c:pt idx="193">
                  <c:v>43497</c:v>
                </c:pt>
                <c:pt idx="194">
                  <c:v>43525</c:v>
                </c:pt>
                <c:pt idx="195">
                  <c:v>43556</c:v>
                </c:pt>
                <c:pt idx="196">
                  <c:v>43586</c:v>
                </c:pt>
                <c:pt idx="197">
                  <c:v>43617</c:v>
                </c:pt>
                <c:pt idx="198">
                  <c:v>43647</c:v>
                </c:pt>
                <c:pt idx="199">
                  <c:v>43678</c:v>
                </c:pt>
                <c:pt idx="200">
                  <c:v>43709</c:v>
                </c:pt>
                <c:pt idx="201">
                  <c:v>43739</c:v>
                </c:pt>
                <c:pt idx="202">
                  <c:v>43770</c:v>
                </c:pt>
                <c:pt idx="203">
                  <c:v>43800</c:v>
                </c:pt>
                <c:pt idx="204">
                  <c:v>43831</c:v>
                </c:pt>
                <c:pt idx="205">
                  <c:v>43862</c:v>
                </c:pt>
                <c:pt idx="206">
                  <c:v>43891</c:v>
                </c:pt>
                <c:pt idx="207">
                  <c:v>43922</c:v>
                </c:pt>
                <c:pt idx="208">
                  <c:v>43952</c:v>
                </c:pt>
                <c:pt idx="209">
                  <c:v>43983</c:v>
                </c:pt>
                <c:pt idx="210">
                  <c:v>44013</c:v>
                </c:pt>
                <c:pt idx="211">
                  <c:v>44044</c:v>
                </c:pt>
                <c:pt idx="212">
                  <c:v>44075</c:v>
                </c:pt>
                <c:pt idx="213">
                  <c:v>44105</c:v>
                </c:pt>
                <c:pt idx="214">
                  <c:v>44136</c:v>
                </c:pt>
                <c:pt idx="215">
                  <c:v>44166</c:v>
                </c:pt>
                <c:pt idx="216">
                  <c:v>44197</c:v>
                </c:pt>
                <c:pt idx="217">
                  <c:v>44228</c:v>
                </c:pt>
                <c:pt idx="218">
                  <c:v>44256</c:v>
                </c:pt>
                <c:pt idx="219">
                  <c:v>44287</c:v>
                </c:pt>
                <c:pt idx="220">
                  <c:v>44317</c:v>
                </c:pt>
                <c:pt idx="221">
                  <c:v>44348</c:v>
                </c:pt>
                <c:pt idx="222">
                  <c:v>44378</c:v>
                </c:pt>
                <c:pt idx="223">
                  <c:v>44409</c:v>
                </c:pt>
                <c:pt idx="224">
                  <c:v>44440</c:v>
                </c:pt>
                <c:pt idx="225">
                  <c:v>44470</c:v>
                </c:pt>
                <c:pt idx="226">
                  <c:v>44501</c:v>
                </c:pt>
                <c:pt idx="227">
                  <c:v>44531</c:v>
                </c:pt>
                <c:pt idx="228">
                  <c:v>44562</c:v>
                </c:pt>
                <c:pt idx="229">
                  <c:v>44593</c:v>
                </c:pt>
                <c:pt idx="230">
                  <c:v>44621</c:v>
                </c:pt>
                <c:pt idx="231">
                  <c:v>44652</c:v>
                </c:pt>
                <c:pt idx="232">
                  <c:v>44682</c:v>
                </c:pt>
                <c:pt idx="233">
                  <c:v>44713</c:v>
                </c:pt>
                <c:pt idx="234">
                  <c:v>44743</c:v>
                </c:pt>
                <c:pt idx="235">
                  <c:v>44774</c:v>
                </c:pt>
                <c:pt idx="236">
                  <c:v>44805</c:v>
                </c:pt>
                <c:pt idx="237">
                  <c:v>44835</c:v>
                </c:pt>
                <c:pt idx="238">
                  <c:v>44866</c:v>
                </c:pt>
                <c:pt idx="239">
                  <c:v>44896</c:v>
                </c:pt>
                <c:pt idx="240">
                  <c:v>44927</c:v>
                </c:pt>
                <c:pt idx="241">
                  <c:v>44958</c:v>
                </c:pt>
                <c:pt idx="242">
                  <c:v>44986</c:v>
                </c:pt>
                <c:pt idx="243">
                  <c:v>45017</c:v>
                </c:pt>
                <c:pt idx="244">
                  <c:v>45047</c:v>
                </c:pt>
                <c:pt idx="245">
                  <c:v>45078</c:v>
                </c:pt>
                <c:pt idx="246">
                  <c:v>45108</c:v>
                </c:pt>
                <c:pt idx="247">
                  <c:v>45139</c:v>
                </c:pt>
                <c:pt idx="248">
                  <c:v>45170</c:v>
                </c:pt>
                <c:pt idx="249">
                  <c:v>45200</c:v>
                </c:pt>
                <c:pt idx="250">
                  <c:v>45231</c:v>
                </c:pt>
                <c:pt idx="251">
                  <c:v>45261</c:v>
                </c:pt>
                <c:pt idx="252">
                  <c:v>45292</c:v>
                </c:pt>
                <c:pt idx="253">
                  <c:v>45323</c:v>
                </c:pt>
                <c:pt idx="254">
                  <c:v>45352</c:v>
                </c:pt>
                <c:pt idx="255">
                  <c:v>45383</c:v>
                </c:pt>
                <c:pt idx="256">
                  <c:v>45413</c:v>
                </c:pt>
                <c:pt idx="257">
                  <c:v>45444</c:v>
                </c:pt>
                <c:pt idx="258">
                  <c:v>45474</c:v>
                </c:pt>
                <c:pt idx="259">
                  <c:v>45505</c:v>
                </c:pt>
                <c:pt idx="260">
                  <c:v>45536</c:v>
                </c:pt>
                <c:pt idx="261">
                  <c:v>45566</c:v>
                </c:pt>
                <c:pt idx="262">
                  <c:v>45597</c:v>
                </c:pt>
                <c:pt idx="263">
                  <c:v>45627</c:v>
                </c:pt>
                <c:pt idx="264">
                  <c:v>45658</c:v>
                </c:pt>
                <c:pt idx="265">
                  <c:v>45689</c:v>
                </c:pt>
                <c:pt idx="266">
                  <c:v>45717</c:v>
                </c:pt>
                <c:pt idx="267">
                  <c:v>45748</c:v>
                </c:pt>
                <c:pt idx="268">
                  <c:v>45778</c:v>
                </c:pt>
                <c:pt idx="269">
                  <c:v>45809</c:v>
                </c:pt>
                <c:pt idx="270">
                  <c:v>45839</c:v>
                </c:pt>
                <c:pt idx="271">
                  <c:v>45870</c:v>
                </c:pt>
                <c:pt idx="272">
                  <c:v>45901</c:v>
                </c:pt>
                <c:pt idx="273">
                  <c:v>45931</c:v>
                </c:pt>
                <c:pt idx="274">
                  <c:v>45962</c:v>
                </c:pt>
                <c:pt idx="275">
                  <c:v>45992</c:v>
                </c:pt>
                <c:pt idx="276">
                  <c:v>46023</c:v>
                </c:pt>
                <c:pt idx="277">
                  <c:v>46054</c:v>
                </c:pt>
                <c:pt idx="278">
                  <c:v>46082</c:v>
                </c:pt>
                <c:pt idx="279">
                  <c:v>46113</c:v>
                </c:pt>
                <c:pt idx="280">
                  <c:v>46143</c:v>
                </c:pt>
                <c:pt idx="281">
                  <c:v>46174</c:v>
                </c:pt>
              </c:numCache>
            </c:numRef>
          </c:cat>
          <c:val>
            <c:numRef>
              <c:f>'OilBrent Holt'!$H$7:$H$288</c:f>
              <c:numCache>
                <c:formatCode>General</c:formatCode>
                <c:ptCount val="282"/>
                <c:pt idx="276">
                  <c:v>64.499632955399463</c:v>
                </c:pt>
                <c:pt idx="277">
                  <c:v>64.433767657666323</c:v>
                </c:pt>
                <c:pt idx="278">
                  <c:v>64.367902359933183</c:v>
                </c:pt>
                <c:pt idx="279">
                  <c:v>64.302037062200043</c:v>
                </c:pt>
                <c:pt idx="280">
                  <c:v>64.236171764466903</c:v>
                </c:pt>
                <c:pt idx="281">
                  <c:v>64.170306466733763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29-4E03-AF1C-387B3A5F5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595248"/>
        <c:axId val="547597408"/>
      </c:lineChart>
      <c:dateAx>
        <c:axId val="54759524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7597408"/>
        <c:crosses val="autoZero"/>
        <c:auto val="1"/>
        <c:lblOffset val="100"/>
        <c:baseTimeUnit val="months"/>
      </c:dateAx>
      <c:valAx>
        <c:axId val="5475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759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819150</xdr:colOff>
          <xdr:row>0</xdr:row>
          <xdr:rowOff>19050</xdr:rowOff>
        </xdr:from>
        <xdr:to>
          <xdr:col>17</xdr:col>
          <xdr:colOff>762000</xdr:colOff>
          <xdr:row>3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76200</xdr:colOff>
          <xdr:row>0</xdr:row>
          <xdr:rowOff>19050</xdr:rowOff>
        </xdr:from>
        <xdr:to>
          <xdr:col>20</xdr:col>
          <xdr:colOff>828675</xdr:colOff>
          <xdr:row>2</xdr:row>
          <xdr:rowOff>85725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114300</xdr:colOff>
          <xdr:row>0</xdr:row>
          <xdr:rowOff>19050</xdr:rowOff>
        </xdr:from>
        <xdr:to>
          <xdr:col>23</xdr:col>
          <xdr:colOff>95250</xdr:colOff>
          <xdr:row>2</xdr:row>
          <xdr:rowOff>38100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819150</xdr:colOff>
          <xdr:row>4</xdr:row>
          <xdr:rowOff>19050</xdr:rowOff>
        </xdr:from>
        <xdr:to>
          <xdr:col>16</xdr:col>
          <xdr:colOff>466725</xdr:colOff>
          <xdr:row>5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609600</xdr:colOff>
          <xdr:row>4</xdr:row>
          <xdr:rowOff>9525</xdr:rowOff>
        </xdr:from>
        <xdr:to>
          <xdr:col>18</xdr:col>
          <xdr:colOff>447675</xdr:colOff>
          <xdr:row>7</xdr:row>
          <xdr:rowOff>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838199</xdr:colOff>
      <xdr:row>8</xdr:row>
      <xdr:rowOff>19049</xdr:rowOff>
    </xdr:from>
    <xdr:to>
      <xdr:col>25</xdr:col>
      <xdr:colOff>152400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9525</xdr:colOff>
          <xdr:row>0</xdr:row>
          <xdr:rowOff>85725</xdr:rowOff>
        </xdr:from>
        <xdr:to>
          <xdr:col>17</xdr:col>
          <xdr:colOff>190500</xdr:colOff>
          <xdr:row>3</xdr:row>
          <xdr:rowOff>19050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9525</xdr:colOff>
          <xdr:row>3</xdr:row>
          <xdr:rowOff>142875</xdr:rowOff>
        </xdr:from>
        <xdr:to>
          <xdr:col>17</xdr:col>
          <xdr:colOff>590550</xdr:colOff>
          <xdr:row>5</xdr:row>
          <xdr:rowOff>200025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19050</xdr:colOff>
          <xdr:row>6</xdr:row>
          <xdr:rowOff>19050</xdr:rowOff>
        </xdr:from>
        <xdr:to>
          <xdr:col>14</xdr:col>
          <xdr:colOff>476250</xdr:colOff>
          <xdr:row>8</xdr:row>
          <xdr:rowOff>28575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12</xdr:col>
      <xdr:colOff>9524</xdr:colOff>
      <xdr:row>8</xdr:row>
      <xdr:rowOff>133350</xdr:rowOff>
    </xdr:from>
    <xdr:to>
      <xdr:col>23</xdr:col>
      <xdr:colOff>238125</xdr:colOff>
      <xdr:row>32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12" Type="http://schemas.openxmlformats.org/officeDocument/2006/relationships/image" Target="../media/image5.png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png"/><Relationship Id="rId11" Type="http://schemas.openxmlformats.org/officeDocument/2006/relationships/oleObject" Target="../embeddings/oleObject5.bin"/><Relationship Id="rId5" Type="http://schemas.openxmlformats.org/officeDocument/2006/relationships/oleObject" Target="../embeddings/oleObject2.bin"/><Relationship Id="rId10" Type="http://schemas.openxmlformats.org/officeDocument/2006/relationships/image" Target="../media/image4.png"/><Relationship Id="rId4" Type="http://schemas.openxmlformats.org/officeDocument/2006/relationships/image" Target="../media/image1.png"/><Relationship Id="rId9" Type="http://schemas.openxmlformats.org/officeDocument/2006/relationships/oleObject" Target="../embeddings/oleObject4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oleObject" Target="../embeddings/oleObject6.bin"/><Relationship Id="rId7" Type="http://schemas.openxmlformats.org/officeDocument/2006/relationships/oleObject" Target="../embeddings/oleObject8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image" Target="../media/image7.emf"/><Relationship Id="rId5" Type="http://schemas.openxmlformats.org/officeDocument/2006/relationships/oleObject" Target="../embeddings/oleObject7.bin"/><Relationship Id="rId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A5D0-F52E-4CE0-81FA-3717E8A8562C}">
  <dimension ref="A1:B278"/>
  <sheetViews>
    <sheetView tabSelected="1" workbookViewId="0">
      <selection activeCell="F9" sqref="F9"/>
    </sheetView>
  </sheetViews>
  <sheetFormatPr baseColWidth="10" defaultRowHeight="12.75" x14ac:dyDescent="0.2"/>
  <sheetData>
    <row r="1" spans="1:2" x14ac:dyDescent="0.2">
      <c r="A1" s="1" t="s">
        <v>0</v>
      </c>
      <c r="B1" s="1" t="s">
        <v>25</v>
      </c>
    </row>
    <row r="2" spans="1:2" x14ac:dyDescent="0.2">
      <c r="A2" s="2">
        <v>37622</v>
      </c>
      <c r="B2" s="1">
        <v>30.808695652173899</v>
      </c>
    </row>
    <row r="3" spans="1:2" x14ac:dyDescent="0.2">
      <c r="A3" s="2">
        <v>37653</v>
      </c>
      <c r="B3" s="1">
        <v>32.662500000000001</v>
      </c>
    </row>
    <row r="4" spans="1:2" x14ac:dyDescent="0.2">
      <c r="A4" s="2">
        <v>37681</v>
      </c>
      <c r="B4" s="1">
        <v>30.168095238095201</v>
      </c>
    </row>
    <row r="5" spans="1:2" x14ac:dyDescent="0.2">
      <c r="A5" s="2">
        <v>37712</v>
      </c>
      <c r="B5" s="1">
        <v>25.035</v>
      </c>
    </row>
    <row r="6" spans="1:2" x14ac:dyDescent="0.2">
      <c r="A6" s="2">
        <v>37742</v>
      </c>
      <c r="B6" s="1">
        <v>25.714545454545402</v>
      </c>
    </row>
    <row r="7" spans="1:2" x14ac:dyDescent="0.2">
      <c r="A7" s="2">
        <v>37773</v>
      </c>
      <c r="B7" s="1">
        <v>27.566666666666599</v>
      </c>
    </row>
    <row r="8" spans="1:2" x14ac:dyDescent="0.2">
      <c r="A8" s="2">
        <v>37803</v>
      </c>
      <c r="B8" s="1">
        <v>28.5039130434782</v>
      </c>
    </row>
    <row r="9" spans="1:2" x14ac:dyDescent="0.2">
      <c r="A9" s="2">
        <v>37834</v>
      </c>
      <c r="B9" s="1">
        <v>29.718095238095199</v>
      </c>
    </row>
    <row r="10" spans="1:2" x14ac:dyDescent="0.2">
      <c r="A10" s="2">
        <v>37865</v>
      </c>
      <c r="B10" s="1">
        <v>27.044090909090901</v>
      </c>
    </row>
    <row r="11" spans="1:2" x14ac:dyDescent="0.2">
      <c r="A11" s="2">
        <v>37895</v>
      </c>
      <c r="B11" s="1">
        <v>29.435652173912999</v>
      </c>
    </row>
    <row r="12" spans="1:2" x14ac:dyDescent="0.2">
      <c r="A12" s="2">
        <v>37926</v>
      </c>
      <c r="B12" s="1">
        <v>28.948499999999999</v>
      </c>
    </row>
    <row r="13" spans="1:2" x14ac:dyDescent="0.2">
      <c r="A13" s="2">
        <v>37956</v>
      </c>
      <c r="B13" s="1">
        <v>29.743478260869502</v>
      </c>
    </row>
    <row r="14" spans="1:2" x14ac:dyDescent="0.2">
      <c r="A14" s="2">
        <v>37987</v>
      </c>
      <c r="B14" s="1">
        <v>30.981818181818099</v>
      </c>
    </row>
    <row r="15" spans="1:2" x14ac:dyDescent="0.2">
      <c r="A15" s="2">
        <v>38018</v>
      </c>
      <c r="B15" s="1">
        <v>30.795000000000002</v>
      </c>
    </row>
    <row r="16" spans="1:2" x14ac:dyDescent="0.2">
      <c r="A16" s="2">
        <v>38047</v>
      </c>
      <c r="B16" s="1">
        <v>33.424347826086901</v>
      </c>
    </row>
    <row r="17" spans="1:2" x14ac:dyDescent="0.2">
      <c r="A17" s="2">
        <v>38078</v>
      </c>
      <c r="B17" s="1">
        <v>33.357727272727203</v>
      </c>
    </row>
    <row r="18" spans="1:2" x14ac:dyDescent="0.2">
      <c r="A18" s="2">
        <v>38108</v>
      </c>
      <c r="B18" s="1">
        <v>37.589047619047598</v>
      </c>
    </row>
    <row r="19" spans="1:2" x14ac:dyDescent="0.2">
      <c r="A19" s="2">
        <v>38139</v>
      </c>
      <c r="B19" s="1">
        <v>35.437727272727201</v>
      </c>
    </row>
    <row r="20" spans="1:2" x14ac:dyDescent="0.2">
      <c r="A20" s="2">
        <v>38169</v>
      </c>
      <c r="B20" s="1">
        <v>38.226818181818103</v>
      </c>
    </row>
    <row r="21" spans="1:2" x14ac:dyDescent="0.2">
      <c r="A21" s="2">
        <v>38200</v>
      </c>
      <c r="B21" s="1">
        <v>42.224090909090897</v>
      </c>
    </row>
    <row r="22" spans="1:2" x14ac:dyDescent="0.2">
      <c r="A22" s="2">
        <v>38231</v>
      </c>
      <c r="B22" s="1">
        <v>43.315909090909003</v>
      </c>
    </row>
    <row r="23" spans="1:2" x14ac:dyDescent="0.2">
      <c r="A23" s="2">
        <v>38261</v>
      </c>
      <c r="B23" s="1">
        <v>49.736190476190401</v>
      </c>
    </row>
    <row r="24" spans="1:2" x14ac:dyDescent="0.2">
      <c r="A24" s="2">
        <v>38292</v>
      </c>
      <c r="B24" s="1">
        <v>43.748636363636301</v>
      </c>
    </row>
    <row r="25" spans="1:2" x14ac:dyDescent="0.2">
      <c r="A25" s="2">
        <v>38322</v>
      </c>
      <c r="B25" s="1">
        <v>39.965652173913</v>
      </c>
    </row>
    <row r="26" spans="1:2" x14ac:dyDescent="0.2">
      <c r="A26" s="2">
        <v>38353</v>
      </c>
      <c r="B26" s="1">
        <v>44.174761904761901</v>
      </c>
    </row>
    <row r="27" spans="1:2" x14ac:dyDescent="0.2">
      <c r="A27" s="2">
        <v>38384</v>
      </c>
      <c r="B27" s="1">
        <v>45.720999999999997</v>
      </c>
    </row>
    <row r="28" spans="1:2" x14ac:dyDescent="0.2">
      <c r="A28" s="2">
        <v>38412</v>
      </c>
      <c r="B28" s="1">
        <v>53.229130434782597</v>
      </c>
    </row>
    <row r="29" spans="1:2" x14ac:dyDescent="0.2">
      <c r="A29" s="2">
        <v>38443</v>
      </c>
      <c r="B29" s="1">
        <v>52.604285714285702</v>
      </c>
    </row>
    <row r="30" spans="1:2" x14ac:dyDescent="0.2">
      <c r="A30" s="2">
        <v>38473</v>
      </c>
      <c r="B30" s="1">
        <v>49.285454545454499</v>
      </c>
    </row>
    <row r="31" spans="1:2" x14ac:dyDescent="0.2">
      <c r="A31" s="2">
        <v>38504</v>
      </c>
      <c r="B31" s="1">
        <v>54.839090909090899</v>
      </c>
    </row>
    <row r="32" spans="1:2" x14ac:dyDescent="0.2">
      <c r="A32" s="2">
        <v>38534</v>
      </c>
      <c r="B32" s="1">
        <v>57.625714285714203</v>
      </c>
    </row>
    <row r="33" spans="1:2" x14ac:dyDescent="0.2">
      <c r="A33" s="2">
        <v>38565</v>
      </c>
      <c r="B33" s="1">
        <v>63.950434782608703</v>
      </c>
    </row>
    <row r="34" spans="1:2" x14ac:dyDescent="0.2">
      <c r="A34" s="2">
        <v>38596</v>
      </c>
      <c r="B34" s="1">
        <v>63.261363636363598</v>
      </c>
    </row>
    <row r="35" spans="1:2" x14ac:dyDescent="0.2">
      <c r="A35" s="2">
        <v>38626</v>
      </c>
      <c r="B35" s="1">
        <v>58.908571428571399</v>
      </c>
    </row>
    <row r="36" spans="1:2" x14ac:dyDescent="0.2">
      <c r="A36" s="2">
        <v>38657</v>
      </c>
      <c r="B36" s="1">
        <v>55.449545454545401</v>
      </c>
    </row>
    <row r="37" spans="1:2" x14ac:dyDescent="0.2">
      <c r="A37" s="2">
        <v>38687</v>
      </c>
      <c r="B37" s="1">
        <v>57.156818181818103</v>
      </c>
    </row>
    <row r="38" spans="1:2" x14ac:dyDescent="0.2">
      <c r="A38" s="2">
        <v>38718</v>
      </c>
      <c r="B38" s="1">
        <v>63.311818181818097</v>
      </c>
    </row>
    <row r="39" spans="1:2" x14ac:dyDescent="0.2">
      <c r="A39" s="2">
        <v>38749</v>
      </c>
      <c r="B39" s="1">
        <v>60.805500000000002</v>
      </c>
    </row>
    <row r="40" spans="1:2" x14ac:dyDescent="0.2">
      <c r="A40" s="2">
        <v>38777</v>
      </c>
      <c r="B40" s="1">
        <v>62.746956521739101</v>
      </c>
    </row>
    <row r="41" spans="1:2" x14ac:dyDescent="0.2">
      <c r="A41" s="2">
        <v>38808</v>
      </c>
      <c r="B41" s="1">
        <v>70.34</v>
      </c>
    </row>
    <row r="42" spans="1:2" x14ac:dyDescent="0.2">
      <c r="A42" s="2">
        <v>38838</v>
      </c>
      <c r="B42" s="1">
        <v>70.510000000000005</v>
      </c>
    </row>
    <row r="43" spans="1:2" x14ac:dyDescent="0.2">
      <c r="A43" s="2">
        <v>38869</v>
      </c>
      <c r="B43" s="1">
        <v>69.232727272727203</v>
      </c>
    </row>
    <row r="44" spans="1:2" x14ac:dyDescent="0.2">
      <c r="A44" s="2">
        <v>38899</v>
      </c>
      <c r="B44" s="1">
        <v>74.040952380952305</v>
      </c>
    </row>
    <row r="45" spans="1:2" x14ac:dyDescent="0.2">
      <c r="A45" s="2">
        <v>38930</v>
      </c>
      <c r="B45" s="1">
        <v>73.500434782608707</v>
      </c>
    </row>
    <row r="46" spans="1:2" x14ac:dyDescent="0.2">
      <c r="A46" s="2">
        <v>38961</v>
      </c>
      <c r="B46" s="1">
        <v>62.527142857142799</v>
      </c>
    </row>
    <row r="47" spans="1:2" x14ac:dyDescent="0.2">
      <c r="A47" s="2">
        <v>38991</v>
      </c>
      <c r="B47" s="1">
        <v>58.758181818181797</v>
      </c>
    </row>
    <row r="48" spans="1:2" x14ac:dyDescent="0.2">
      <c r="A48" s="2">
        <v>39022</v>
      </c>
      <c r="B48" s="1">
        <v>59.222727272727198</v>
      </c>
    </row>
    <row r="49" spans="1:2" x14ac:dyDescent="0.2">
      <c r="A49" s="2">
        <v>39052</v>
      </c>
      <c r="B49" s="1">
        <v>62.260476190476098</v>
      </c>
    </row>
    <row r="50" spans="1:2" x14ac:dyDescent="0.2">
      <c r="A50" s="2">
        <v>39083</v>
      </c>
      <c r="B50" s="1">
        <v>54.5030434782608</v>
      </c>
    </row>
    <row r="51" spans="1:2" x14ac:dyDescent="0.2">
      <c r="A51" s="2">
        <v>39114</v>
      </c>
      <c r="B51" s="1">
        <v>57.969499999999996</v>
      </c>
    </row>
    <row r="52" spans="1:2" x14ac:dyDescent="0.2">
      <c r="A52" s="2">
        <v>39142</v>
      </c>
      <c r="B52" s="1">
        <v>62.357272727272701</v>
      </c>
    </row>
    <row r="53" spans="1:2" x14ac:dyDescent="0.2">
      <c r="A53" s="2">
        <v>39173</v>
      </c>
      <c r="B53" s="1">
        <v>67.690476190476105</v>
      </c>
    </row>
    <row r="54" spans="1:2" x14ac:dyDescent="0.2">
      <c r="A54" s="2">
        <v>39203</v>
      </c>
      <c r="B54" s="1">
        <v>67.717826086956507</v>
      </c>
    </row>
    <row r="55" spans="1:2" x14ac:dyDescent="0.2">
      <c r="A55" s="2">
        <v>39234</v>
      </c>
      <c r="B55" s="1">
        <v>70.619047619047606</v>
      </c>
    </row>
    <row r="56" spans="1:2" x14ac:dyDescent="0.2">
      <c r="A56" s="2">
        <v>39264</v>
      </c>
      <c r="B56" s="1">
        <v>76.133181818181797</v>
      </c>
    </row>
    <row r="57" spans="1:2" x14ac:dyDescent="0.2">
      <c r="A57" s="2">
        <v>39295</v>
      </c>
      <c r="B57" s="1">
        <v>71.313043478260795</v>
      </c>
    </row>
    <row r="58" spans="1:2" x14ac:dyDescent="0.2">
      <c r="A58" s="2">
        <v>39326</v>
      </c>
      <c r="B58" s="1">
        <v>76.772000000000006</v>
      </c>
    </row>
    <row r="59" spans="1:2" x14ac:dyDescent="0.2">
      <c r="A59" s="2">
        <v>39356</v>
      </c>
      <c r="B59" s="1">
        <v>82.507391304347806</v>
      </c>
    </row>
    <row r="60" spans="1:2" x14ac:dyDescent="0.2">
      <c r="A60" s="2">
        <v>39387</v>
      </c>
      <c r="B60" s="1">
        <v>92.731363636363596</v>
      </c>
    </row>
    <row r="61" spans="1:2" x14ac:dyDescent="0.2">
      <c r="A61" s="2">
        <v>39417</v>
      </c>
      <c r="B61" s="1">
        <v>91.519523809523804</v>
      </c>
    </row>
    <row r="62" spans="1:2" x14ac:dyDescent="0.2">
      <c r="A62" s="2">
        <v>39448</v>
      </c>
      <c r="B62" s="1">
        <v>92.091739130434703</v>
      </c>
    </row>
    <row r="63" spans="1:2" x14ac:dyDescent="0.2">
      <c r="A63" s="2">
        <v>39479</v>
      </c>
      <c r="B63" s="1">
        <v>94.722380952380902</v>
      </c>
    </row>
    <row r="64" spans="1:2" x14ac:dyDescent="0.2">
      <c r="A64" s="2">
        <v>39508</v>
      </c>
      <c r="B64" s="1">
        <v>103.161904761904</v>
      </c>
    </row>
    <row r="65" spans="1:2" x14ac:dyDescent="0.2">
      <c r="A65" s="2">
        <v>39539</v>
      </c>
      <c r="B65" s="1">
        <v>110.03318181818101</v>
      </c>
    </row>
    <row r="66" spans="1:2" x14ac:dyDescent="0.2">
      <c r="A66" s="2">
        <v>39569</v>
      </c>
      <c r="B66" s="1">
        <v>123.862272727272</v>
      </c>
    </row>
    <row r="67" spans="1:2" x14ac:dyDescent="0.2">
      <c r="A67" s="2">
        <v>39600</v>
      </c>
      <c r="B67" s="1">
        <v>132.760476190476</v>
      </c>
    </row>
    <row r="68" spans="1:2" x14ac:dyDescent="0.2">
      <c r="A68" s="2">
        <v>39630</v>
      </c>
      <c r="B68" s="1">
        <v>133.58521739130401</v>
      </c>
    </row>
    <row r="69" spans="1:2" x14ac:dyDescent="0.2">
      <c r="A69" s="2">
        <v>39661</v>
      </c>
      <c r="B69" s="1">
        <v>113.800476190476</v>
      </c>
    </row>
    <row r="70" spans="1:2" x14ac:dyDescent="0.2">
      <c r="A70" s="2">
        <v>39692</v>
      </c>
      <c r="B70" s="1">
        <v>98.755454545454498</v>
      </c>
    </row>
    <row r="71" spans="1:2" x14ac:dyDescent="0.2">
      <c r="A71" s="2">
        <v>39722</v>
      </c>
      <c r="B71" s="1">
        <v>71.963478260869493</v>
      </c>
    </row>
    <row r="72" spans="1:2" x14ac:dyDescent="0.2">
      <c r="A72" s="2">
        <v>39753</v>
      </c>
      <c r="B72" s="1">
        <v>52.713500000000003</v>
      </c>
    </row>
    <row r="73" spans="1:2" x14ac:dyDescent="0.2">
      <c r="A73" s="2">
        <v>39783</v>
      </c>
      <c r="B73" s="1">
        <v>40.511739130434698</v>
      </c>
    </row>
    <row r="74" spans="1:2" x14ac:dyDescent="0.2">
      <c r="A74" s="2">
        <v>39814</v>
      </c>
      <c r="B74" s="1">
        <v>43.174545454545402</v>
      </c>
    </row>
    <row r="75" spans="1:2" x14ac:dyDescent="0.2">
      <c r="A75" s="2">
        <v>39845</v>
      </c>
      <c r="B75" s="1">
        <v>42.910499999999999</v>
      </c>
    </row>
    <row r="76" spans="1:2" x14ac:dyDescent="0.2">
      <c r="A76" s="2">
        <v>39873</v>
      </c>
      <c r="B76" s="1">
        <v>46.582727272727197</v>
      </c>
    </row>
    <row r="77" spans="1:2" x14ac:dyDescent="0.2">
      <c r="A77" s="2">
        <v>39904</v>
      </c>
      <c r="B77" s="1">
        <v>50.519090909090899</v>
      </c>
    </row>
    <row r="78" spans="1:2" x14ac:dyDescent="0.2">
      <c r="A78" s="2">
        <v>39934</v>
      </c>
      <c r="B78" s="1">
        <v>57.501428571428498</v>
      </c>
    </row>
    <row r="79" spans="1:2" x14ac:dyDescent="0.2">
      <c r="A79" s="2">
        <v>39965</v>
      </c>
      <c r="B79" s="1">
        <v>68.58</v>
      </c>
    </row>
    <row r="80" spans="1:2" x14ac:dyDescent="0.2">
      <c r="A80" s="2">
        <v>39995</v>
      </c>
      <c r="B80" s="1">
        <v>64.904347826086905</v>
      </c>
    </row>
    <row r="81" spans="1:2" x14ac:dyDescent="0.2">
      <c r="A81" s="2">
        <v>40026</v>
      </c>
      <c r="B81" s="1">
        <v>72.591904761904701</v>
      </c>
    </row>
    <row r="82" spans="1:2" x14ac:dyDescent="0.2">
      <c r="A82" s="2">
        <v>40057</v>
      </c>
      <c r="B82" s="1">
        <v>67.513181818181806</v>
      </c>
    </row>
    <row r="83" spans="1:2" x14ac:dyDescent="0.2">
      <c r="A83" s="2">
        <v>40087</v>
      </c>
      <c r="B83" s="1">
        <v>72.968636363636307</v>
      </c>
    </row>
    <row r="84" spans="1:2" x14ac:dyDescent="0.2">
      <c r="A84" s="2">
        <v>40118</v>
      </c>
      <c r="B84" s="1">
        <v>76.936666666666596</v>
      </c>
    </row>
    <row r="85" spans="1:2" x14ac:dyDescent="0.2">
      <c r="A85" s="2">
        <v>40148</v>
      </c>
      <c r="B85" s="1">
        <v>74.789565217391299</v>
      </c>
    </row>
    <row r="86" spans="1:2" x14ac:dyDescent="0.2">
      <c r="A86" s="2">
        <v>40179</v>
      </c>
      <c r="B86" s="1">
        <v>76.602380952380898</v>
      </c>
    </row>
    <row r="87" spans="1:2" x14ac:dyDescent="0.2">
      <c r="A87" s="2">
        <v>40210</v>
      </c>
      <c r="B87" s="1">
        <v>73.903000000000006</v>
      </c>
    </row>
    <row r="88" spans="1:2" x14ac:dyDescent="0.2">
      <c r="A88" s="2">
        <v>40238</v>
      </c>
      <c r="B88" s="1">
        <v>79.519130434782596</v>
      </c>
    </row>
    <row r="89" spans="1:2" x14ac:dyDescent="0.2">
      <c r="A89" s="2">
        <v>40269</v>
      </c>
      <c r="B89" s="1">
        <v>85.156363636363594</v>
      </c>
    </row>
    <row r="90" spans="1:2" x14ac:dyDescent="0.2">
      <c r="A90" s="2">
        <v>40299</v>
      </c>
      <c r="B90" s="1">
        <v>76.132380952380899</v>
      </c>
    </row>
    <row r="91" spans="1:2" x14ac:dyDescent="0.2">
      <c r="A91" s="2">
        <v>40330</v>
      </c>
      <c r="B91" s="1">
        <v>75.246363636363597</v>
      </c>
    </row>
    <row r="92" spans="1:2" x14ac:dyDescent="0.2">
      <c r="A92" s="2">
        <v>40360</v>
      </c>
      <c r="B92" s="1">
        <v>75.194999999999894</v>
      </c>
    </row>
    <row r="93" spans="1:2" x14ac:dyDescent="0.2">
      <c r="A93" s="2">
        <v>40391</v>
      </c>
      <c r="B93" s="1">
        <v>76.891818181818095</v>
      </c>
    </row>
    <row r="94" spans="1:2" x14ac:dyDescent="0.2">
      <c r="A94" s="2">
        <v>40422</v>
      </c>
      <c r="B94" s="1">
        <v>77.938181818181803</v>
      </c>
    </row>
    <row r="95" spans="1:2" x14ac:dyDescent="0.2">
      <c r="A95" s="2">
        <v>40452</v>
      </c>
      <c r="B95" s="1">
        <v>83.338571428571399</v>
      </c>
    </row>
    <row r="96" spans="1:2" x14ac:dyDescent="0.2">
      <c r="A96" s="2">
        <v>40483</v>
      </c>
      <c r="B96" s="1">
        <v>85.800909090909002</v>
      </c>
    </row>
    <row r="97" spans="1:2" x14ac:dyDescent="0.2">
      <c r="A97" s="2">
        <v>40513</v>
      </c>
      <c r="B97" s="1">
        <v>91.959999999999894</v>
      </c>
    </row>
    <row r="98" spans="1:2" x14ac:dyDescent="0.2">
      <c r="A98" s="2">
        <v>40544</v>
      </c>
      <c r="B98" s="1">
        <v>96.952380952380906</v>
      </c>
    </row>
    <row r="99" spans="1:2" x14ac:dyDescent="0.2">
      <c r="A99" s="2">
        <v>40575</v>
      </c>
      <c r="B99" s="1">
        <v>104.2385</v>
      </c>
    </row>
    <row r="100" spans="1:2" x14ac:dyDescent="0.2">
      <c r="A100" s="2">
        <v>40603</v>
      </c>
      <c r="B100" s="1">
        <v>114.91739130434701</v>
      </c>
    </row>
    <row r="101" spans="1:2" x14ac:dyDescent="0.2">
      <c r="A101" s="2">
        <v>40634</v>
      </c>
      <c r="B101" s="1">
        <v>123.325714285714</v>
      </c>
    </row>
    <row r="102" spans="1:2" x14ac:dyDescent="0.2">
      <c r="A102" s="2">
        <v>40664</v>
      </c>
      <c r="B102" s="1">
        <v>114.92954545454501</v>
      </c>
    </row>
    <row r="103" spans="1:2" x14ac:dyDescent="0.2">
      <c r="A103" s="2">
        <v>40695</v>
      </c>
      <c r="B103" s="1">
        <v>114.370454545454</v>
      </c>
    </row>
    <row r="104" spans="1:2" x14ac:dyDescent="0.2">
      <c r="A104" s="2">
        <v>40725</v>
      </c>
      <c r="B104" s="1">
        <v>117.48333333333299</v>
      </c>
    </row>
    <row r="105" spans="1:2" x14ac:dyDescent="0.2">
      <c r="A105" s="2">
        <v>40756</v>
      </c>
      <c r="B105" s="1">
        <v>110.354782608695</v>
      </c>
    </row>
    <row r="106" spans="1:2" x14ac:dyDescent="0.2">
      <c r="A106" s="2">
        <v>40787</v>
      </c>
      <c r="B106" s="1">
        <v>111.96272727272699</v>
      </c>
    </row>
    <row r="107" spans="1:2" x14ac:dyDescent="0.2">
      <c r="A107" s="2">
        <v>40817</v>
      </c>
      <c r="B107" s="1">
        <v>110.429523809523</v>
      </c>
    </row>
    <row r="108" spans="1:2" x14ac:dyDescent="0.2">
      <c r="A108" s="2">
        <v>40848</v>
      </c>
      <c r="B108" s="1">
        <v>111.15863636363601</v>
      </c>
    </row>
    <row r="109" spans="1:2" x14ac:dyDescent="0.2">
      <c r="A109" s="2">
        <v>40878</v>
      </c>
      <c r="B109" s="1">
        <v>108.347727272727</v>
      </c>
    </row>
    <row r="110" spans="1:2" x14ac:dyDescent="0.2">
      <c r="A110" s="2">
        <v>40909</v>
      </c>
      <c r="B110" s="1">
        <v>111.41500000000001</v>
      </c>
    </row>
    <row r="111" spans="1:2" x14ac:dyDescent="0.2">
      <c r="A111" s="2">
        <v>40940</v>
      </c>
      <c r="B111" s="1">
        <v>119.165714285714</v>
      </c>
    </row>
    <row r="112" spans="1:2" x14ac:dyDescent="0.2">
      <c r="A112" s="2">
        <v>40969</v>
      </c>
      <c r="B112" s="1">
        <v>124.70318181818099</v>
      </c>
    </row>
    <row r="113" spans="1:2" x14ac:dyDescent="0.2">
      <c r="A113" s="2">
        <v>41000</v>
      </c>
      <c r="B113" s="1">
        <v>120.47</v>
      </c>
    </row>
    <row r="114" spans="1:2" x14ac:dyDescent="0.2">
      <c r="A114" s="2">
        <v>41030</v>
      </c>
      <c r="B114" s="1">
        <v>110.822173913043</v>
      </c>
    </row>
    <row r="115" spans="1:2" x14ac:dyDescent="0.2">
      <c r="A115" s="2">
        <v>41061</v>
      </c>
      <c r="B115" s="1">
        <v>95.889047619047602</v>
      </c>
    </row>
    <row r="116" spans="1:2" x14ac:dyDescent="0.2">
      <c r="A116" s="2">
        <v>41091</v>
      </c>
      <c r="B116" s="1">
        <v>102.979545454545</v>
      </c>
    </row>
    <row r="117" spans="1:2" x14ac:dyDescent="0.2">
      <c r="A117" s="2">
        <v>41122</v>
      </c>
      <c r="B117" s="1">
        <v>113.780434782608</v>
      </c>
    </row>
    <row r="118" spans="1:2" x14ac:dyDescent="0.2">
      <c r="A118" s="2">
        <v>41153</v>
      </c>
      <c r="B118" s="1">
        <v>113.641499999999</v>
      </c>
    </row>
    <row r="119" spans="1:2" x14ac:dyDescent="0.2">
      <c r="A119" s="2">
        <v>41183</v>
      </c>
      <c r="B119" s="1">
        <v>111.79260869565201</v>
      </c>
    </row>
    <row r="120" spans="1:2" x14ac:dyDescent="0.2">
      <c r="A120" s="2">
        <v>41214</v>
      </c>
      <c r="B120" s="1">
        <v>109.91181818181801</v>
      </c>
    </row>
    <row r="121" spans="1:2" x14ac:dyDescent="0.2">
      <c r="A121" s="2">
        <v>41244</v>
      </c>
      <c r="B121" s="1">
        <v>109.569047619047</v>
      </c>
    </row>
    <row r="122" spans="1:2" x14ac:dyDescent="0.2">
      <c r="A122" s="2">
        <v>41275</v>
      </c>
      <c r="B122" s="1">
        <v>112.527826086956</v>
      </c>
    </row>
    <row r="123" spans="1:2" x14ac:dyDescent="0.2">
      <c r="A123" s="2">
        <v>41306</v>
      </c>
      <c r="B123" s="1">
        <v>116.488</v>
      </c>
    </row>
    <row r="124" spans="1:2" x14ac:dyDescent="0.2">
      <c r="A124" s="2">
        <v>41334</v>
      </c>
      <c r="B124" s="1">
        <v>109.585714285714</v>
      </c>
    </row>
    <row r="125" spans="1:2" x14ac:dyDescent="0.2">
      <c r="A125" s="2">
        <v>41365</v>
      </c>
      <c r="B125" s="1">
        <v>102.959999999999</v>
      </c>
    </row>
    <row r="126" spans="1:2" x14ac:dyDescent="0.2">
      <c r="A126" s="2">
        <v>41395</v>
      </c>
      <c r="B126" s="1">
        <v>102.980434782608</v>
      </c>
    </row>
    <row r="127" spans="1:2" x14ac:dyDescent="0.2">
      <c r="A127" s="2">
        <v>41426</v>
      </c>
      <c r="B127" s="1">
        <v>103.35850000000001</v>
      </c>
    </row>
    <row r="128" spans="1:2" x14ac:dyDescent="0.2">
      <c r="A128" s="2">
        <v>41456</v>
      </c>
      <c r="B128" s="1">
        <v>107.779565217391</v>
      </c>
    </row>
    <row r="129" spans="1:2" x14ac:dyDescent="0.2">
      <c r="A129" s="2">
        <v>41487</v>
      </c>
      <c r="B129" s="1">
        <v>111.058181818181</v>
      </c>
    </row>
    <row r="130" spans="1:2" x14ac:dyDescent="0.2">
      <c r="A130" s="2">
        <v>41518</v>
      </c>
      <c r="B130" s="1">
        <v>111.962857142857</v>
      </c>
    </row>
    <row r="131" spans="1:2" x14ac:dyDescent="0.2">
      <c r="A131" s="2">
        <v>41548</v>
      </c>
      <c r="B131" s="1">
        <v>109.618695652173</v>
      </c>
    </row>
    <row r="132" spans="1:2" x14ac:dyDescent="0.2">
      <c r="A132" s="2">
        <v>41579</v>
      </c>
      <c r="B132" s="1">
        <v>108.150476190476</v>
      </c>
    </row>
    <row r="133" spans="1:2" x14ac:dyDescent="0.2">
      <c r="A133" s="2">
        <v>41609</v>
      </c>
      <c r="B133" s="1">
        <v>111.070454545454</v>
      </c>
    </row>
    <row r="134" spans="1:2" x14ac:dyDescent="0.2">
      <c r="A134" s="2">
        <v>41640</v>
      </c>
      <c r="B134" s="1">
        <v>107.926956521739</v>
      </c>
    </row>
    <row r="135" spans="1:2" x14ac:dyDescent="0.2">
      <c r="A135" s="2">
        <v>41671</v>
      </c>
      <c r="B135" s="1">
        <v>108.837999999999</v>
      </c>
    </row>
    <row r="136" spans="1:2" x14ac:dyDescent="0.2">
      <c r="A136" s="2">
        <v>41699</v>
      </c>
      <c r="B136" s="1">
        <v>107.86809523809499</v>
      </c>
    </row>
    <row r="137" spans="1:2" x14ac:dyDescent="0.2">
      <c r="A137" s="2">
        <v>41730</v>
      </c>
      <c r="B137" s="1">
        <v>108.00363636363601</v>
      </c>
    </row>
    <row r="138" spans="1:2" x14ac:dyDescent="0.2">
      <c r="A138" s="2">
        <v>41760</v>
      </c>
      <c r="B138" s="1">
        <v>109.832272727272</v>
      </c>
    </row>
    <row r="139" spans="1:2" x14ac:dyDescent="0.2">
      <c r="A139" s="2">
        <v>41791</v>
      </c>
      <c r="B139" s="1">
        <v>112.240952380952</v>
      </c>
    </row>
    <row r="140" spans="1:2" x14ac:dyDescent="0.2">
      <c r="A140" s="2">
        <v>41821</v>
      </c>
      <c r="B140" s="1">
        <v>107.46260869565199</v>
      </c>
    </row>
    <row r="141" spans="1:2" x14ac:dyDescent="0.2">
      <c r="A141" s="2">
        <v>41852</v>
      </c>
      <c r="B141" s="1">
        <v>102.40190476190401</v>
      </c>
    </row>
    <row r="142" spans="1:2" x14ac:dyDescent="0.2">
      <c r="A142" s="2">
        <v>41883</v>
      </c>
      <c r="B142" s="1">
        <v>97.852727272727194</v>
      </c>
    </row>
    <row r="143" spans="1:2" x14ac:dyDescent="0.2">
      <c r="A143" s="2">
        <v>41913</v>
      </c>
      <c r="B143" s="1">
        <v>87.584782608695605</v>
      </c>
    </row>
    <row r="144" spans="1:2" x14ac:dyDescent="0.2">
      <c r="A144" s="2">
        <v>41944</v>
      </c>
      <c r="B144" s="1">
        <v>79.229500000000002</v>
      </c>
    </row>
    <row r="145" spans="1:2" x14ac:dyDescent="0.2">
      <c r="A145" s="2">
        <v>41974</v>
      </c>
      <c r="B145" s="1">
        <v>62.903913043478198</v>
      </c>
    </row>
    <row r="146" spans="1:2" x14ac:dyDescent="0.2">
      <c r="A146" s="2">
        <v>42005</v>
      </c>
      <c r="B146" s="1">
        <v>48.933181818181801</v>
      </c>
    </row>
    <row r="147" spans="1:2" x14ac:dyDescent="0.2">
      <c r="A147" s="2">
        <v>42036</v>
      </c>
      <c r="B147" s="1">
        <v>58.253999999999998</v>
      </c>
    </row>
    <row r="148" spans="1:2" x14ac:dyDescent="0.2">
      <c r="A148" s="2">
        <v>42064</v>
      </c>
      <c r="B148" s="1">
        <v>56.524545454545397</v>
      </c>
    </row>
    <row r="149" spans="1:2" x14ac:dyDescent="0.2">
      <c r="A149" s="2">
        <v>42095</v>
      </c>
      <c r="B149" s="1">
        <v>59.826363636363602</v>
      </c>
    </row>
    <row r="150" spans="1:2" x14ac:dyDescent="0.2">
      <c r="A150" s="2">
        <v>42125</v>
      </c>
      <c r="B150" s="1">
        <v>65.193809523809506</v>
      </c>
    </row>
    <row r="151" spans="1:2" x14ac:dyDescent="0.2">
      <c r="A151" s="2">
        <v>42156</v>
      </c>
      <c r="B151" s="1">
        <v>62.62</v>
      </c>
    </row>
    <row r="152" spans="1:2" x14ac:dyDescent="0.2">
      <c r="A152" s="2">
        <v>42186</v>
      </c>
      <c r="B152" s="1">
        <v>56.829565217391298</v>
      </c>
    </row>
    <row r="153" spans="1:2" x14ac:dyDescent="0.2">
      <c r="A153" s="2">
        <v>42217</v>
      </c>
      <c r="B153" s="1">
        <v>47.533809523809502</v>
      </c>
    </row>
    <row r="154" spans="1:2" x14ac:dyDescent="0.2">
      <c r="A154" s="2">
        <v>42248</v>
      </c>
      <c r="B154" s="1">
        <v>48.030454545454504</v>
      </c>
    </row>
    <row r="155" spans="1:2" x14ac:dyDescent="0.2">
      <c r="A155" s="2">
        <v>42278</v>
      </c>
      <c r="B155" s="1">
        <v>48.906363636363601</v>
      </c>
    </row>
    <row r="156" spans="1:2" x14ac:dyDescent="0.2">
      <c r="A156" s="2">
        <v>42309</v>
      </c>
      <c r="B156" s="1">
        <v>45.095238095238102</v>
      </c>
    </row>
    <row r="157" spans="1:2" x14ac:dyDescent="0.2">
      <c r="A157" s="2">
        <v>42339</v>
      </c>
      <c r="B157" s="1">
        <v>38.525217391304302</v>
      </c>
    </row>
    <row r="158" spans="1:2" x14ac:dyDescent="0.2">
      <c r="A158" s="2">
        <v>42370</v>
      </c>
      <c r="B158" s="1">
        <v>32.045238095238098</v>
      </c>
    </row>
    <row r="159" spans="1:2" x14ac:dyDescent="0.2">
      <c r="A159" s="2">
        <v>42401</v>
      </c>
      <c r="B159" s="1">
        <v>33.762380952380902</v>
      </c>
    </row>
    <row r="160" spans="1:2" x14ac:dyDescent="0.2">
      <c r="A160" s="2">
        <v>42430</v>
      </c>
      <c r="B160" s="1">
        <v>39.792173913043399</v>
      </c>
    </row>
    <row r="161" spans="1:2" x14ac:dyDescent="0.2">
      <c r="A161" s="2">
        <v>42461</v>
      </c>
      <c r="B161" s="1">
        <v>43.330476190476098</v>
      </c>
    </row>
    <row r="162" spans="1:2" x14ac:dyDescent="0.2">
      <c r="A162" s="2">
        <v>42491</v>
      </c>
      <c r="B162" s="1">
        <v>47.734999999999999</v>
      </c>
    </row>
    <row r="163" spans="1:2" x14ac:dyDescent="0.2">
      <c r="A163" s="2">
        <v>42522</v>
      </c>
      <c r="B163" s="1">
        <v>49.877272727272697</v>
      </c>
    </row>
    <row r="164" spans="1:2" x14ac:dyDescent="0.2">
      <c r="A164" s="2">
        <v>42552</v>
      </c>
      <c r="B164" s="1">
        <v>46.598571428571397</v>
      </c>
    </row>
    <row r="165" spans="1:2" x14ac:dyDescent="0.2">
      <c r="A165" s="2">
        <v>42583</v>
      </c>
      <c r="B165" s="1">
        <v>47.052173913043397</v>
      </c>
    </row>
    <row r="166" spans="1:2" x14ac:dyDescent="0.2">
      <c r="A166" s="2">
        <v>42614</v>
      </c>
      <c r="B166" s="1">
        <v>47.376818181818102</v>
      </c>
    </row>
    <row r="167" spans="1:2" x14ac:dyDescent="0.2">
      <c r="A167" s="2">
        <v>42644</v>
      </c>
      <c r="B167" s="1">
        <v>51.413809523809498</v>
      </c>
    </row>
    <row r="168" spans="1:2" x14ac:dyDescent="0.2">
      <c r="A168" s="2">
        <v>42675</v>
      </c>
      <c r="B168" s="1">
        <v>46.942272727272702</v>
      </c>
    </row>
    <row r="169" spans="1:2" x14ac:dyDescent="0.2">
      <c r="A169" s="2">
        <v>42705</v>
      </c>
      <c r="B169" s="1">
        <v>55.022727272727202</v>
      </c>
    </row>
    <row r="170" spans="1:2" x14ac:dyDescent="0.2">
      <c r="A170" s="2">
        <v>42736</v>
      </c>
      <c r="B170" s="1">
        <v>55.710909090908999</v>
      </c>
    </row>
    <row r="171" spans="1:2" x14ac:dyDescent="0.2">
      <c r="A171" s="2">
        <v>42767</v>
      </c>
      <c r="B171" s="1">
        <v>56.095999999999997</v>
      </c>
    </row>
    <row r="172" spans="1:2" x14ac:dyDescent="0.2">
      <c r="A172" s="2">
        <v>42795</v>
      </c>
      <c r="B172" s="1">
        <v>52.655217391304298</v>
      </c>
    </row>
    <row r="173" spans="1:2" x14ac:dyDescent="0.2">
      <c r="A173" s="2">
        <v>42826</v>
      </c>
      <c r="B173" s="1">
        <v>53.978000000000002</v>
      </c>
    </row>
    <row r="174" spans="1:2" x14ac:dyDescent="0.2">
      <c r="A174" s="2">
        <v>42856</v>
      </c>
      <c r="B174" s="1">
        <v>51.374347826086897</v>
      </c>
    </row>
    <row r="175" spans="1:2" x14ac:dyDescent="0.2">
      <c r="A175" s="2">
        <v>42887</v>
      </c>
      <c r="B175" s="1">
        <v>47.652727272727198</v>
      </c>
    </row>
    <row r="176" spans="1:2" x14ac:dyDescent="0.2">
      <c r="A176" s="2">
        <v>42917</v>
      </c>
      <c r="B176" s="1">
        <v>49.253333333333302</v>
      </c>
    </row>
    <row r="177" spans="1:2" x14ac:dyDescent="0.2">
      <c r="A177" s="2">
        <v>42948</v>
      </c>
      <c r="B177" s="1">
        <v>51.9278260869565</v>
      </c>
    </row>
    <row r="178" spans="1:2" x14ac:dyDescent="0.2">
      <c r="A178" s="2">
        <v>42979</v>
      </c>
      <c r="B178" s="1">
        <v>55.557619047618999</v>
      </c>
    </row>
    <row r="179" spans="1:2" x14ac:dyDescent="0.2">
      <c r="A179" s="2">
        <v>43009</v>
      </c>
      <c r="B179" s="1">
        <v>57.536363636363603</v>
      </c>
    </row>
    <row r="180" spans="1:2" x14ac:dyDescent="0.2">
      <c r="A180" s="2">
        <v>43040</v>
      </c>
      <c r="B180" s="1">
        <v>62.8363636363636</v>
      </c>
    </row>
    <row r="181" spans="1:2" x14ac:dyDescent="0.2">
      <c r="A181" s="2">
        <v>43070</v>
      </c>
      <c r="B181" s="1">
        <v>64.064285714285703</v>
      </c>
    </row>
    <row r="182" spans="1:2" x14ac:dyDescent="0.2">
      <c r="A182" s="2">
        <v>43101</v>
      </c>
      <c r="B182" s="1">
        <v>68.889130434782601</v>
      </c>
    </row>
    <row r="183" spans="1:2" x14ac:dyDescent="0.2">
      <c r="A183" s="2">
        <v>43132</v>
      </c>
      <c r="B183" s="1">
        <v>65.6965</v>
      </c>
    </row>
    <row r="184" spans="1:2" x14ac:dyDescent="0.2">
      <c r="A184" s="2">
        <v>43160</v>
      </c>
      <c r="B184" s="1">
        <v>66.891818181818095</v>
      </c>
    </row>
    <row r="185" spans="1:2" x14ac:dyDescent="0.2">
      <c r="A185" s="2">
        <v>43191</v>
      </c>
      <c r="B185" s="1">
        <v>71.932857142857102</v>
      </c>
    </row>
    <row r="186" spans="1:2" x14ac:dyDescent="0.2">
      <c r="A186" s="2">
        <v>43221</v>
      </c>
      <c r="B186" s="1">
        <v>76.934347826086906</v>
      </c>
    </row>
    <row r="187" spans="1:2" x14ac:dyDescent="0.2">
      <c r="A187" s="2">
        <v>43252</v>
      </c>
      <c r="B187" s="1">
        <v>75.802857142857107</v>
      </c>
    </row>
    <row r="188" spans="1:2" x14ac:dyDescent="0.2">
      <c r="A188" s="2">
        <v>43282</v>
      </c>
      <c r="B188" s="1">
        <v>75.2290909090909</v>
      </c>
    </row>
    <row r="189" spans="1:2" x14ac:dyDescent="0.2">
      <c r="A189" s="2">
        <v>43313</v>
      </c>
      <c r="B189" s="1">
        <v>73.851304347826002</v>
      </c>
    </row>
    <row r="190" spans="1:2" x14ac:dyDescent="0.2">
      <c r="A190" s="2">
        <v>43344</v>
      </c>
      <c r="B190" s="1">
        <v>79.162999999999997</v>
      </c>
    </row>
    <row r="191" spans="1:2" x14ac:dyDescent="0.2">
      <c r="A191" s="2">
        <v>43374</v>
      </c>
      <c r="B191" s="1">
        <v>80.783478260869501</v>
      </c>
    </row>
    <row r="192" spans="1:2" x14ac:dyDescent="0.2">
      <c r="A192" s="2">
        <v>43405</v>
      </c>
      <c r="B192" s="1">
        <v>66.228636363636298</v>
      </c>
    </row>
    <row r="193" spans="1:2" x14ac:dyDescent="0.2">
      <c r="A193" s="2">
        <v>43435</v>
      </c>
      <c r="B193" s="1">
        <v>57.948095238095199</v>
      </c>
    </row>
    <row r="194" spans="1:2" x14ac:dyDescent="0.2">
      <c r="A194" s="2">
        <v>43466</v>
      </c>
      <c r="B194" s="1">
        <v>59.944782608695597</v>
      </c>
    </row>
    <row r="195" spans="1:2" x14ac:dyDescent="0.2">
      <c r="A195" s="2">
        <v>43497</v>
      </c>
      <c r="B195" s="1">
        <v>64.384</v>
      </c>
    </row>
    <row r="196" spans="1:2" x14ac:dyDescent="0.2">
      <c r="A196" s="2">
        <v>43525</v>
      </c>
      <c r="B196" s="1">
        <v>66.941904761904695</v>
      </c>
    </row>
    <row r="197" spans="1:2" x14ac:dyDescent="0.2">
      <c r="A197" s="2">
        <v>43556</v>
      </c>
      <c r="B197" s="1">
        <v>71.475909090908999</v>
      </c>
    </row>
    <row r="198" spans="1:2" x14ac:dyDescent="0.2">
      <c r="A198" s="2">
        <v>43586</v>
      </c>
      <c r="B198" s="1">
        <v>70.389130434782601</v>
      </c>
    </row>
    <row r="199" spans="1:2" x14ac:dyDescent="0.2">
      <c r="A199" s="2">
        <v>43617</v>
      </c>
      <c r="B199" s="1">
        <v>63.208500000000001</v>
      </c>
    </row>
    <row r="200" spans="1:2" x14ac:dyDescent="0.2">
      <c r="A200" s="2">
        <v>43647</v>
      </c>
      <c r="B200" s="1">
        <v>64.3221739130434</v>
      </c>
    </row>
    <row r="201" spans="1:2" x14ac:dyDescent="0.2">
      <c r="A201" s="2">
        <v>43678</v>
      </c>
      <c r="B201" s="1">
        <v>59.618181818181803</v>
      </c>
    </row>
    <row r="202" spans="1:2" x14ac:dyDescent="0.2">
      <c r="A202" s="2">
        <v>43709</v>
      </c>
      <c r="B202" s="1">
        <v>62.430952380952299</v>
      </c>
    </row>
    <row r="203" spans="1:2" x14ac:dyDescent="0.2">
      <c r="A203" s="2">
        <v>43739</v>
      </c>
      <c r="B203" s="1">
        <v>59.631304347826003</v>
      </c>
    </row>
    <row r="204" spans="1:2" x14ac:dyDescent="0.2">
      <c r="A204" s="2">
        <v>43770</v>
      </c>
      <c r="B204" s="1">
        <v>62.686666666666603</v>
      </c>
    </row>
    <row r="205" spans="1:2" x14ac:dyDescent="0.2">
      <c r="A205" s="2">
        <v>43800</v>
      </c>
      <c r="B205" s="1">
        <v>65.3481818181818</v>
      </c>
    </row>
    <row r="206" spans="1:2" x14ac:dyDescent="0.2">
      <c r="A206" s="2">
        <v>43831</v>
      </c>
      <c r="B206" s="1">
        <v>63.898695652173899</v>
      </c>
    </row>
    <row r="207" spans="1:2" x14ac:dyDescent="0.2">
      <c r="A207" s="2">
        <v>43862</v>
      </c>
      <c r="B207" s="1">
        <v>55.691000000000003</v>
      </c>
    </row>
    <row r="208" spans="1:2" x14ac:dyDescent="0.2">
      <c r="A208" s="2">
        <v>43891</v>
      </c>
      <c r="B208" s="1">
        <v>33.947272727272697</v>
      </c>
    </row>
    <row r="209" spans="1:2" x14ac:dyDescent="0.2">
      <c r="A209" s="2">
        <v>43922</v>
      </c>
      <c r="B209" s="1">
        <v>26.848636363636299</v>
      </c>
    </row>
    <row r="210" spans="1:2" x14ac:dyDescent="0.2">
      <c r="A210" s="2">
        <v>43952</v>
      </c>
      <c r="B210" s="1">
        <v>32.422380952380898</v>
      </c>
    </row>
    <row r="211" spans="1:2" x14ac:dyDescent="0.2">
      <c r="A211" s="2">
        <v>43983</v>
      </c>
      <c r="B211" s="1">
        <v>40.860454545454502</v>
      </c>
    </row>
    <row r="212" spans="1:2" x14ac:dyDescent="0.2">
      <c r="A212" s="2">
        <v>44013</v>
      </c>
      <c r="B212" s="1">
        <v>43.295652173912998</v>
      </c>
    </row>
    <row r="213" spans="1:2" x14ac:dyDescent="0.2">
      <c r="A213" s="2">
        <v>44044</v>
      </c>
      <c r="B213" s="1">
        <v>45.081428571428503</v>
      </c>
    </row>
    <row r="214" spans="1:2" x14ac:dyDescent="0.2">
      <c r="A214" s="2">
        <v>44075</v>
      </c>
      <c r="B214" s="1">
        <v>41.926818181818099</v>
      </c>
    </row>
    <row r="215" spans="1:2" x14ac:dyDescent="0.2">
      <c r="A215" s="2">
        <v>44105</v>
      </c>
      <c r="B215" s="1">
        <v>41.606818181818099</v>
      </c>
    </row>
    <row r="216" spans="1:2" x14ac:dyDescent="0.2">
      <c r="A216" s="2">
        <v>44136</v>
      </c>
      <c r="B216" s="1">
        <v>44.05</v>
      </c>
    </row>
    <row r="217" spans="1:2" x14ac:dyDescent="0.2">
      <c r="A217" s="2">
        <v>44166</v>
      </c>
      <c r="B217" s="1">
        <v>50.376956521739103</v>
      </c>
    </row>
    <row r="218" spans="1:2" x14ac:dyDescent="0.2">
      <c r="A218" s="2">
        <v>44197</v>
      </c>
      <c r="B218" s="1">
        <v>55.224761904761898</v>
      </c>
    </row>
    <row r="219" spans="1:2" x14ac:dyDescent="0.2">
      <c r="A219" s="2">
        <v>44228</v>
      </c>
      <c r="B219" s="1">
        <v>62.362499999999997</v>
      </c>
    </row>
    <row r="220" spans="1:2" x14ac:dyDescent="0.2">
      <c r="A220" s="2">
        <v>44256</v>
      </c>
      <c r="B220" s="1">
        <v>65.796086956521705</v>
      </c>
    </row>
    <row r="221" spans="1:2" x14ac:dyDescent="0.2">
      <c r="A221" s="2">
        <v>44287</v>
      </c>
      <c r="B221" s="1">
        <v>65.531818181818096</v>
      </c>
    </row>
    <row r="222" spans="1:2" x14ac:dyDescent="0.2">
      <c r="A222" s="2">
        <v>44317</v>
      </c>
      <c r="B222" s="1">
        <v>68.375238095238103</v>
      </c>
    </row>
    <row r="223" spans="1:2" x14ac:dyDescent="0.2">
      <c r="A223" s="2">
        <v>44348</v>
      </c>
      <c r="B223" s="1">
        <v>73.512727272727204</v>
      </c>
    </row>
    <row r="224" spans="1:2" x14ac:dyDescent="0.2">
      <c r="A224" s="2">
        <v>44378</v>
      </c>
      <c r="B224" s="1">
        <v>74.403181818181807</v>
      </c>
    </row>
    <row r="225" spans="1:2" x14ac:dyDescent="0.2">
      <c r="A225" s="2">
        <v>44409</v>
      </c>
      <c r="B225" s="1">
        <v>70.588181818181795</v>
      </c>
    </row>
    <row r="226" spans="1:2" x14ac:dyDescent="0.2">
      <c r="A226" s="2">
        <v>44440</v>
      </c>
      <c r="B226" s="1">
        <v>74.749545454545398</v>
      </c>
    </row>
    <row r="227" spans="1:2" x14ac:dyDescent="0.2">
      <c r="A227" s="2">
        <v>44470</v>
      </c>
      <c r="B227" s="1">
        <v>83.865238095238098</v>
      </c>
    </row>
    <row r="228" spans="1:2" x14ac:dyDescent="0.2">
      <c r="A228" s="2">
        <v>44501</v>
      </c>
      <c r="B228" s="1">
        <v>80.890454545454503</v>
      </c>
    </row>
    <row r="229" spans="1:2" x14ac:dyDescent="0.2">
      <c r="A229" s="2">
        <v>44531</v>
      </c>
      <c r="B229" s="1">
        <v>74.678260869565193</v>
      </c>
    </row>
    <row r="230" spans="1:2" x14ac:dyDescent="0.2">
      <c r="A230" s="2">
        <v>44562</v>
      </c>
      <c r="B230" s="1">
        <v>85.622380952380894</v>
      </c>
    </row>
    <row r="231" spans="1:2" x14ac:dyDescent="0.2">
      <c r="A231" s="2">
        <v>44593</v>
      </c>
      <c r="B231" s="1">
        <v>94.266999999999996</v>
      </c>
    </row>
    <row r="232" spans="1:2" x14ac:dyDescent="0.2">
      <c r="A232" s="2">
        <v>44621</v>
      </c>
      <c r="B232" s="1">
        <v>112.44</v>
      </c>
    </row>
    <row r="233" spans="1:2" x14ac:dyDescent="0.2">
      <c r="A233" s="2">
        <v>44652</v>
      </c>
      <c r="B233" s="1">
        <v>106.155714285714</v>
      </c>
    </row>
    <row r="234" spans="1:2" x14ac:dyDescent="0.2">
      <c r="A234" s="2">
        <v>44682</v>
      </c>
      <c r="B234" s="1">
        <v>112.113636363636</v>
      </c>
    </row>
    <row r="235" spans="1:2" x14ac:dyDescent="0.2">
      <c r="A235" s="2">
        <v>44713</v>
      </c>
      <c r="B235" s="1">
        <v>117.692727272727</v>
      </c>
    </row>
    <row r="236" spans="1:2" x14ac:dyDescent="0.2">
      <c r="A236" s="2">
        <v>44743</v>
      </c>
      <c r="B236" s="1">
        <v>105.252857142857</v>
      </c>
    </row>
    <row r="237" spans="1:2" x14ac:dyDescent="0.2">
      <c r="A237" s="2">
        <v>44774</v>
      </c>
      <c r="B237" s="1">
        <v>97.643043478260793</v>
      </c>
    </row>
    <row r="238" spans="1:2" x14ac:dyDescent="0.2">
      <c r="A238" s="2">
        <v>44805</v>
      </c>
      <c r="B238" s="1">
        <v>90.608181818181805</v>
      </c>
    </row>
    <row r="239" spans="1:2" x14ac:dyDescent="0.2">
      <c r="A239" s="2">
        <v>44835</v>
      </c>
      <c r="B239" s="1">
        <v>93.718571428571394</v>
      </c>
    </row>
    <row r="240" spans="1:2" x14ac:dyDescent="0.2">
      <c r="A240" s="2">
        <v>44866</v>
      </c>
      <c r="B240" s="1">
        <v>90.938636363636306</v>
      </c>
    </row>
    <row r="241" spans="1:2" x14ac:dyDescent="0.2">
      <c r="A241" s="2">
        <v>44896</v>
      </c>
      <c r="B241" s="1">
        <v>81.503181818181801</v>
      </c>
    </row>
    <row r="242" spans="1:2" x14ac:dyDescent="0.2">
      <c r="A242" s="2">
        <v>44927</v>
      </c>
      <c r="B242" s="1">
        <v>84.081818181818093</v>
      </c>
    </row>
    <row r="243" spans="1:2" x14ac:dyDescent="0.2">
      <c r="A243" s="2">
        <v>44958</v>
      </c>
      <c r="B243" s="1">
        <v>83.632499999999894</v>
      </c>
    </row>
    <row r="244" spans="1:2" x14ac:dyDescent="0.2">
      <c r="A244" s="2">
        <v>44986</v>
      </c>
      <c r="B244" s="1">
        <v>79.256521739130406</v>
      </c>
    </row>
    <row r="245" spans="1:2" x14ac:dyDescent="0.2">
      <c r="A245" s="2">
        <v>45017</v>
      </c>
      <c r="B245" s="1">
        <v>83.536000000000001</v>
      </c>
    </row>
    <row r="246" spans="1:2" x14ac:dyDescent="0.2">
      <c r="A246" s="2">
        <v>45047</v>
      </c>
      <c r="B246" s="1">
        <v>75.747391304347801</v>
      </c>
    </row>
    <row r="247" spans="1:2" x14ac:dyDescent="0.2">
      <c r="A247" s="2">
        <v>45078</v>
      </c>
      <c r="B247" s="1">
        <v>74.974999999999895</v>
      </c>
    </row>
    <row r="248" spans="1:2" x14ac:dyDescent="0.2">
      <c r="A248" s="2">
        <v>45108</v>
      </c>
      <c r="B248" s="1">
        <v>80.109047619047601</v>
      </c>
    </row>
    <row r="249" spans="1:2" x14ac:dyDescent="0.2">
      <c r="A249" s="2">
        <v>45139</v>
      </c>
      <c r="B249" s="1">
        <v>85.168260869565202</v>
      </c>
    </row>
    <row r="250" spans="1:2" x14ac:dyDescent="0.2">
      <c r="A250" s="2">
        <v>45170</v>
      </c>
      <c r="B250" s="1">
        <v>92.673333333333304</v>
      </c>
    </row>
    <row r="251" spans="1:2" x14ac:dyDescent="0.2">
      <c r="A251" s="2">
        <v>45200</v>
      </c>
      <c r="B251" s="1">
        <v>88.947727272727207</v>
      </c>
    </row>
    <row r="252" spans="1:2" x14ac:dyDescent="0.2">
      <c r="A252" s="2">
        <v>45231</v>
      </c>
      <c r="B252" s="1">
        <v>82.186363636363595</v>
      </c>
    </row>
    <row r="253" spans="1:2" x14ac:dyDescent="0.2">
      <c r="A253" s="2">
        <v>45261</v>
      </c>
      <c r="B253" s="1">
        <v>77.540952380952305</v>
      </c>
    </row>
    <row r="254" spans="1:2" x14ac:dyDescent="0.2">
      <c r="A254" s="2">
        <v>45292</v>
      </c>
      <c r="B254" s="1">
        <v>79.11</v>
      </c>
    </row>
    <row r="255" spans="1:2" x14ac:dyDescent="0.2">
      <c r="A255" s="2">
        <v>45323</v>
      </c>
      <c r="B255" s="1">
        <v>81.795714285714297</v>
      </c>
    </row>
    <row r="256" spans="1:2" x14ac:dyDescent="0.2">
      <c r="A256" s="2">
        <v>45352</v>
      </c>
      <c r="B256" s="1">
        <v>84.961428571428499</v>
      </c>
    </row>
    <row r="257" spans="1:2" x14ac:dyDescent="0.2">
      <c r="A257" s="2">
        <v>45383</v>
      </c>
      <c r="B257" s="1">
        <v>88.974545454545407</v>
      </c>
    </row>
    <row r="258" spans="1:2" x14ac:dyDescent="0.2">
      <c r="A258" s="2">
        <v>45413</v>
      </c>
      <c r="B258" s="1">
        <v>83.053913043478204</v>
      </c>
    </row>
    <row r="259" spans="1:2" x14ac:dyDescent="0.2">
      <c r="A259" s="2">
        <v>45444</v>
      </c>
      <c r="B259" s="1">
        <v>82.917500000000004</v>
      </c>
    </row>
    <row r="260" spans="1:2" x14ac:dyDescent="0.2">
      <c r="A260" s="2">
        <v>45474</v>
      </c>
      <c r="B260" s="1">
        <v>84.048695652173905</v>
      </c>
    </row>
    <row r="261" spans="1:2" x14ac:dyDescent="0.2">
      <c r="A261" s="2">
        <v>45505</v>
      </c>
      <c r="B261" s="1">
        <v>79.018636363636304</v>
      </c>
    </row>
    <row r="262" spans="1:2" x14ac:dyDescent="0.2">
      <c r="A262" s="2">
        <v>45536</v>
      </c>
      <c r="B262" s="1">
        <v>73.057619047618999</v>
      </c>
    </row>
    <row r="263" spans="1:2" x14ac:dyDescent="0.2">
      <c r="A263" s="2">
        <v>45566</v>
      </c>
      <c r="B263" s="1">
        <v>75.266521739130397</v>
      </c>
    </row>
    <row r="264" spans="1:2" x14ac:dyDescent="0.2">
      <c r="A264" s="2">
        <v>45597</v>
      </c>
      <c r="B264" s="1">
        <v>73.5085714285714</v>
      </c>
    </row>
    <row r="265" spans="1:2" x14ac:dyDescent="0.2">
      <c r="A265" s="2">
        <v>45627</v>
      </c>
      <c r="B265" s="1">
        <v>73.227727272727194</v>
      </c>
    </row>
    <row r="266" spans="1:2" x14ac:dyDescent="0.2">
      <c r="A266" s="2">
        <v>45658</v>
      </c>
      <c r="B266" s="1">
        <v>78.193913043478204</v>
      </c>
    </row>
    <row r="267" spans="1:2" x14ac:dyDescent="0.2">
      <c r="A267" s="2">
        <v>45689</v>
      </c>
      <c r="B267" s="1">
        <v>75.192999999999998</v>
      </c>
    </row>
    <row r="268" spans="1:2" x14ac:dyDescent="0.2">
      <c r="A268" s="2">
        <v>45717</v>
      </c>
      <c r="B268" s="1">
        <v>71.7414285714285</v>
      </c>
    </row>
    <row r="269" spans="1:2" x14ac:dyDescent="0.2">
      <c r="A269" s="2">
        <v>45748</v>
      </c>
      <c r="B269" s="1">
        <v>66.927272727272694</v>
      </c>
    </row>
    <row r="270" spans="1:2" x14ac:dyDescent="0.2">
      <c r="A270" s="2">
        <v>45778</v>
      </c>
      <c r="B270" s="1">
        <v>64.092727272727203</v>
      </c>
    </row>
    <row r="271" spans="1:2" x14ac:dyDescent="0.2">
      <c r="A271" s="2">
        <v>45809</v>
      </c>
      <c r="B271" s="1">
        <v>69.846666666666593</v>
      </c>
    </row>
    <row r="272" spans="1:2" x14ac:dyDescent="0.2">
      <c r="A272" s="2">
        <v>45839</v>
      </c>
      <c r="B272" s="1">
        <v>69.564782608695594</v>
      </c>
    </row>
    <row r="273" spans="1:2" x14ac:dyDescent="0.2">
      <c r="A273" s="2">
        <v>45870</v>
      </c>
      <c r="B273" s="1">
        <v>67.244285714285695</v>
      </c>
    </row>
    <row r="274" spans="1:2" x14ac:dyDescent="0.2">
      <c r="A274" s="2">
        <v>45901</v>
      </c>
      <c r="B274" s="1">
        <v>67.609090909090895</v>
      </c>
    </row>
    <row r="275" spans="1:2" x14ac:dyDescent="0.2">
      <c r="A275" s="2">
        <v>45931</v>
      </c>
      <c r="B275" s="1">
        <v>63.981304347825997</v>
      </c>
    </row>
    <row r="276" spans="1:2" x14ac:dyDescent="0.2">
      <c r="A276" s="2">
        <v>45962</v>
      </c>
      <c r="B276" s="1">
        <v>63.6935</v>
      </c>
    </row>
    <row r="277" spans="1:2" x14ac:dyDescent="0.2">
      <c r="A277" s="2">
        <v>45992</v>
      </c>
      <c r="B277" s="1">
        <v>61.810909090909</v>
      </c>
    </row>
    <row r="278" spans="1:2" x14ac:dyDescent="0.2">
      <c r="A278" s="2">
        <v>46023</v>
      </c>
      <c r="B278" s="1">
        <v>64.594090909090895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89"/>
  <sheetViews>
    <sheetView topLeftCell="A265" zoomScaleNormal="100" workbookViewId="0">
      <selection activeCell="B6" sqref="B6:C283"/>
    </sheetView>
  </sheetViews>
  <sheetFormatPr baseColWidth="10" defaultColWidth="12.5703125" defaultRowHeight="15.75" customHeight="1" x14ac:dyDescent="0.2"/>
  <cols>
    <col min="14" max="14" width="13.28515625" customWidth="1"/>
  </cols>
  <sheetData>
    <row r="1" spans="2:14" ht="12.75" x14ac:dyDescent="0.2"/>
    <row r="2" spans="2:14" ht="15" x14ac:dyDescent="0.2">
      <c r="B2" s="7"/>
      <c r="C2" s="7" t="s">
        <v>11</v>
      </c>
      <c r="D2">
        <v>0.46644459863531362</v>
      </c>
      <c r="I2" t="s">
        <v>12</v>
      </c>
      <c r="J2">
        <f>AVERAGE(K8:K283)</f>
        <v>10.179380057656601</v>
      </c>
      <c r="L2" t="s">
        <v>14</v>
      </c>
      <c r="M2">
        <f>AVERAGE(L8:L283)</f>
        <v>2.1779968336785061</v>
      </c>
    </row>
    <row r="3" spans="2:14" ht="15" x14ac:dyDescent="0.2">
      <c r="B3" s="7"/>
      <c r="C3" s="7"/>
      <c r="I3" t="s">
        <v>13</v>
      </c>
      <c r="J3">
        <f>SQRT(J2)</f>
        <v>3.1905140741981692</v>
      </c>
      <c r="L3" t="s">
        <v>15</v>
      </c>
      <c r="M3" s="8">
        <f>AVERAGE(M8:M283)</f>
        <v>3.4340429255236386E-2</v>
      </c>
      <c r="N3" s="8"/>
    </row>
    <row r="4" spans="2:14" ht="15" x14ac:dyDescent="0.2">
      <c r="B4" s="7"/>
      <c r="C4" s="7"/>
    </row>
    <row r="5" spans="2:14" ht="15" x14ac:dyDescent="0.2">
      <c r="B5" s="7"/>
      <c r="C5" s="7"/>
    </row>
    <row r="6" spans="2:14" ht="15" x14ac:dyDescent="0.2">
      <c r="B6" s="1" t="s">
        <v>0</v>
      </c>
      <c r="C6" s="1" t="s">
        <v>1</v>
      </c>
      <c r="E6" s="3" t="s">
        <v>2</v>
      </c>
      <c r="F6" s="3" t="s">
        <v>3</v>
      </c>
      <c r="G6" s="3" t="s">
        <v>4</v>
      </c>
      <c r="H6" s="3" t="s">
        <v>5</v>
      </c>
      <c r="I6" s="3" t="s">
        <v>6</v>
      </c>
      <c r="J6" s="4" t="s">
        <v>7</v>
      </c>
      <c r="K6" s="5" t="s">
        <v>8</v>
      </c>
      <c r="L6" s="6" t="s">
        <v>9</v>
      </c>
      <c r="M6" s="5" t="s">
        <v>10</v>
      </c>
      <c r="N6" s="9" t="s">
        <v>16</v>
      </c>
    </row>
    <row r="7" spans="2:14" ht="12.75" x14ac:dyDescent="0.2">
      <c r="B7" s="2">
        <v>37622</v>
      </c>
      <c r="C7" s="1">
        <v>30.808695652173899</v>
      </c>
      <c r="E7">
        <f>C7</f>
        <v>30.808695652173899</v>
      </c>
      <c r="F7">
        <f>C7</f>
        <v>30.808695652173899</v>
      </c>
      <c r="G7">
        <f>2*E7-F7</f>
        <v>30.808695652173899</v>
      </c>
      <c r="I7">
        <f t="shared" ref="I7:I71" si="0">G7+H7</f>
        <v>30.808695652173899</v>
      </c>
    </row>
    <row r="8" spans="2:14" ht="12.75" x14ac:dyDescent="0.2">
      <c r="B8" s="2">
        <v>37653</v>
      </c>
      <c r="C8" s="1">
        <v>32.662500000000001</v>
      </c>
      <c r="E8">
        <f>$D$2*C8+(1-$D$2)*E7</f>
        <v>31.673392677144044</v>
      </c>
      <c r="F8">
        <f>$D$2*E8+(1-$D$2)*F7</f>
        <v>31.212028908927248</v>
      </c>
      <c r="G8">
        <f t="shared" ref="G8:G71" si="1">2*E8-F8</f>
        <v>32.134756445360836</v>
      </c>
      <c r="H8">
        <f>($D$2/(1-$D$2))*(E8-F8)</f>
        <v>0.40333325675334858</v>
      </c>
      <c r="I8">
        <f t="shared" si="0"/>
        <v>32.538089702114185</v>
      </c>
      <c r="J8">
        <f>C8-I8</f>
        <v>0.12441029788581659</v>
      </c>
      <c r="K8">
        <f>POWER(J8,2)</f>
        <v>1.547792222003762E-2</v>
      </c>
      <c r="L8">
        <f>ABS(C8-I8)</f>
        <v>0.12441029788581659</v>
      </c>
      <c r="M8">
        <f>L8/C8</f>
        <v>3.8089643439974462E-3</v>
      </c>
    </row>
    <row r="9" spans="2:14" ht="12.75" x14ac:dyDescent="0.2">
      <c r="B9" s="2">
        <v>37681</v>
      </c>
      <c r="C9" s="1">
        <v>30.168095238095201</v>
      </c>
      <c r="E9">
        <f t="shared" ref="E9:E72" si="2">$D$2*C9+(1-$D$2)*E8</f>
        <v>30.971254817360141</v>
      </c>
      <c r="F9">
        <f t="shared" ref="F9:F72" si="3">$D$2*E9+(1-$D$2)*F8</f>
        <v>31.099721134424449</v>
      </c>
      <c r="G9">
        <f t="shared" si="1"/>
        <v>30.842788500295832</v>
      </c>
      <c r="H9">
        <f t="shared" ref="H9:H72" si="4">($D$2/(1-$D$2))*(E9-F9)</f>
        <v>-0.11230777450280412</v>
      </c>
      <c r="I9">
        <f t="shared" si="0"/>
        <v>30.730480725793029</v>
      </c>
      <c r="J9">
        <f t="shared" ref="J9:J72" si="5">C9-I9</f>
        <v>-0.56238548769782781</v>
      </c>
      <c r="K9">
        <f t="shared" ref="K9:K72" si="6">POWER(J9,2)</f>
        <v>0.31627743677312364</v>
      </c>
      <c r="L9">
        <f t="shared" ref="L9:L72" si="7">ABS(C9-I9)</f>
        <v>0.56238548769782781</v>
      </c>
      <c r="M9">
        <f t="shared" ref="M9:M72" si="8">L9/C9</f>
        <v>1.8641730054858332E-2</v>
      </c>
    </row>
    <row r="10" spans="2:14" ht="12.75" x14ac:dyDescent="0.2">
      <c r="B10" s="2">
        <v>37712</v>
      </c>
      <c r="C10" s="1">
        <v>25.035</v>
      </c>
      <c r="E10">
        <f t="shared" si="2"/>
        <v>28.202320821679642</v>
      </c>
      <c r="F10">
        <f t="shared" si="3"/>
        <v>29.748244408460366</v>
      </c>
      <c r="G10">
        <f t="shared" si="1"/>
        <v>26.656397234898918</v>
      </c>
      <c r="H10">
        <f t="shared" si="4"/>
        <v>-1.3514767259640839</v>
      </c>
      <c r="I10">
        <f t="shared" si="0"/>
        <v>25.304920508934835</v>
      </c>
      <c r="J10">
        <f t="shared" si="5"/>
        <v>-0.26992050893483466</v>
      </c>
      <c r="K10">
        <f t="shared" si="6"/>
        <v>7.2857081143640159E-2</v>
      </c>
      <c r="L10">
        <f t="shared" si="7"/>
        <v>0.26992050893483466</v>
      </c>
      <c r="M10">
        <f t="shared" si="8"/>
        <v>1.0781725941075879E-2</v>
      </c>
    </row>
    <row r="11" spans="2:14" ht="12.75" x14ac:dyDescent="0.2">
      <c r="B11" s="2">
        <v>37742</v>
      </c>
      <c r="C11" s="1">
        <v>25.714545454545402</v>
      </c>
      <c r="E11">
        <f t="shared" si="2"/>
        <v>27.041911439061892</v>
      </c>
      <c r="F11">
        <f t="shared" si="3"/>
        <v>28.485890012775776</v>
      </c>
      <c r="G11">
        <f t="shared" si="1"/>
        <v>25.597932865348007</v>
      </c>
      <c r="H11">
        <f t="shared" si="4"/>
        <v>-1.2623543956845864</v>
      </c>
      <c r="I11">
        <f t="shared" si="0"/>
        <v>24.335578469663421</v>
      </c>
      <c r="J11">
        <f t="shared" si="5"/>
        <v>1.3789669848819806</v>
      </c>
      <c r="K11">
        <f t="shared" si="6"/>
        <v>1.9015499453945004</v>
      </c>
      <c r="L11">
        <f t="shared" si="7"/>
        <v>1.3789669848819806</v>
      </c>
      <c r="M11">
        <f t="shared" si="8"/>
        <v>5.3625952180236927E-2</v>
      </c>
    </row>
    <row r="12" spans="2:14" ht="12.75" x14ac:dyDescent="0.2">
      <c r="B12" s="2">
        <v>37773</v>
      </c>
      <c r="C12" s="1">
        <v>27.566666666666599</v>
      </c>
      <c r="E12">
        <f t="shared" si="2"/>
        <v>27.28668068058375</v>
      </c>
      <c r="F12">
        <f t="shared" si="3"/>
        <v>27.926525297141744</v>
      </c>
      <c r="G12">
        <f t="shared" si="1"/>
        <v>26.646836064025756</v>
      </c>
      <c r="H12">
        <f t="shared" si="4"/>
        <v>-0.55936471563403212</v>
      </c>
      <c r="I12">
        <f t="shared" si="0"/>
        <v>26.087471348391723</v>
      </c>
      <c r="J12">
        <f t="shared" si="5"/>
        <v>1.4791953182748756</v>
      </c>
      <c r="K12">
        <f t="shared" si="6"/>
        <v>2.1880187896063106</v>
      </c>
      <c r="L12">
        <f t="shared" si="7"/>
        <v>1.4791953182748756</v>
      </c>
      <c r="M12">
        <f t="shared" si="8"/>
        <v>5.3658838631495016E-2</v>
      </c>
    </row>
    <row r="13" spans="2:14" ht="12.75" x14ac:dyDescent="0.2">
      <c r="B13" s="2">
        <v>37803</v>
      </c>
      <c r="C13" s="1">
        <v>28.5039130434782</v>
      </c>
      <c r="E13">
        <f t="shared" si="2"/>
        <v>27.854452141539966</v>
      </c>
      <c r="F13">
        <f t="shared" si="3"/>
        <v>27.892907163004693</v>
      </c>
      <c r="G13">
        <f t="shared" si="1"/>
        <v>27.815997120075238</v>
      </c>
      <c r="H13">
        <f t="shared" si="4"/>
        <v>-3.3618134137053175E-2</v>
      </c>
      <c r="I13">
        <f t="shared" si="0"/>
        <v>27.782378985938184</v>
      </c>
      <c r="J13">
        <f t="shared" si="5"/>
        <v>0.72153405754001554</v>
      </c>
      <c r="K13">
        <f t="shared" si="6"/>
        <v>0.5206113961901585</v>
      </c>
      <c r="L13">
        <f t="shared" si="7"/>
        <v>0.72153405754001554</v>
      </c>
      <c r="M13">
        <f t="shared" si="8"/>
        <v>2.5313508936103957E-2</v>
      </c>
    </row>
    <row r="14" spans="2:14" ht="12.75" x14ac:dyDescent="0.2">
      <c r="B14" s="2">
        <v>37834</v>
      </c>
      <c r="C14" s="1">
        <v>29.718095238095199</v>
      </c>
      <c r="E14">
        <f t="shared" si="2"/>
        <v>28.723738397712147</v>
      </c>
      <c r="F14">
        <f t="shared" si="3"/>
        <v>28.280443904811495</v>
      </c>
      <c r="G14">
        <f t="shared" si="1"/>
        <v>29.167032890612798</v>
      </c>
      <c r="H14">
        <f t="shared" si="4"/>
        <v>0.38753674180679876</v>
      </c>
      <c r="I14">
        <f t="shared" si="0"/>
        <v>29.554569632419597</v>
      </c>
      <c r="J14">
        <f t="shared" si="5"/>
        <v>0.16352560567560204</v>
      </c>
      <c r="K14">
        <f t="shared" si="6"/>
        <v>2.674062371157249E-2</v>
      </c>
      <c r="L14">
        <f t="shared" si="7"/>
        <v>0.16352560567560204</v>
      </c>
      <c r="M14">
        <f t="shared" si="8"/>
        <v>5.5025601191956916E-3</v>
      </c>
    </row>
    <row r="15" spans="2:14" ht="12.75" x14ac:dyDescent="0.2">
      <c r="B15" s="2">
        <v>37865</v>
      </c>
      <c r="C15" s="1">
        <v>27.044090909090901</v>
      </c>
      <c r="E15">
        <f t="shared" si="2"/>
        <v>27.940275899033395</v>
      </c>
      <c r="F15">
        <f t="shared" si="3"/>
        <v>28.121774375887753</v>
      </c>
      <c r="G15">
        <f t="shared" si="1"/>
        <v>27.758777422179037</v>
      </c>
      <c r="H15">
        <f t="shared" si="4"/>
        <v>-0.15866952892374006</v>
      </c>
      <c r="I15">
        <f t="shared" si="0"/>
        <v>27.600107893255299</v>
      </c>
      <c r="J15">
        <f t="shared" si="5"/>
        <v>-0.5560169841643976</v>
      </c>
      <c r="K15">
        <f t="shared" si="6"/>
        <v>0.30915488667927199</v>
      </c>
      <c r="L15">
        <f t="shared" si="7"/>
        <v>0.5560169841643976</v>
      </c>
      <c r="M15">
        <f t="shared" si="8"/>
        <v>2.05596478000853E-2</v>
      </c>
    </row>
    <row r="16" spans="2:14" ht="12.75" x14ac:dyDescent="0.2">
      <c r="B16" s="2">
        <v>37895</v>
      </c>
      <c r="C16" s="1">
        <v>29.435652173912999</v>
      </c>
      <c r="E16">
        <f t="shared" si="2"/>
        <v>28.63778608537838</v>
      </c>
      <c r="F16">
        <f t="shared" si="3"/>
        <v>28.362465250612232</v>
      </c>
      <c r="G16">
        <f t="shared" si="1"/>
        <v>28.913106920144529</v>
      </c>
      <c r="H16">
        <f t="shared" si="4"/>
        <v>0.24069087472447667</v>
      </c>
      <c r="I16">
        <f t="shared" si="0"/>
        <v>29.153797794869003</v>
      </c>
      <c r="J16">
        <f t="shared" si="5"/>
        <v>0.28185437904399535</v>
      </c>
      <c r="K16">
        <f t="shared" si="6"/>
        <v>7.9441890986276201E-2</v>
      </c>
      <c r="L16">
        <f t="shared" si="7"/>
        <v>0.28185437904399535</v>
      </c>
      <c r="M16">
        <f t="shared" si="8"/>
        <v>9.5752721012848999E-3</v>
      </c>
    </row>
    <row r="17" spans="2:13" ht="12.75" x14ac:dyDescent="0.2">
      <c r="B17" s="2">
        <v>37926</v>
      </c>
      <c r="C17" s="1">
        <v>28.948499999999999</v>
      </c>
      <c r="E17">
        <f t="shared" si="2"/>
        <v>28.782716912574468</v>
      </c>
      <c r="F17">
        <f t="shared" si="3"/>
        <v>28.558489368402032</v>
      </c>
      <c r="G17">
        <f t="shared" si="1"/>
        <v>29.006944456746904</v>
      </c>
      <c r="H17">
        <f t="shared" si="4"/>
        <v>0.19602411778979745</v>
      </c>
      <c r="I17">
        <f t="shared" si="0"/>
        <v>29.202968574536701</v>
      </c>
      <c r="J17">
        <f t="shared" si="5"/>
        <v>-0.25446857453670191</v>
      </c>
      <c r="K17">
        <f t="shared" si="6"/>
        <v>6.4754255426741014E-2</v>
      </c>
      <c r="L17">
        <f t="shared" si="7"/>
        <v>0.25446857453670191</v>
      </c>
      <c r="M17">
        <f t="shared" si="8"/>
        <v>8.7903889506089055E-3</v>
      </c>
    </row>
    <row r="18" spans="2:13" ht="12.75" x14ac:dyDescent="0.2">
      <c r="B18" s="2">
        <v>37956</v>
      </c>
      <c r="C18" s="1">
        <v>29.743478260869502</v>
      </c>
      <c r="E18">
        <f t="shared" si="2"/>
        <v>29.230858854064266</v>
      </c>
      <c r="F18">
        <f t="shared" si="3"/>
        <v>28.872112483276386</v>
      </c>
      <c r="G18">
        <f t="shared" si="1"/>
        <v>29.589605224852146</v>
      </c>
      <c r="H18">
        <f t="shared" si="4"/>
        <v>0.31362311487435246</v>
      </c>
      <c r="I18">
        <f t="shared" si="0"/>
        <v>29.9032283397265</v>
      </c>
      <c r="J18">
        <f t="shared" si="5"/>
        <v>-0.1597500788569981</v>
      </c>
      <c r="K18">
        <f t="shared" si="6"/>
        <v>2.552008769481711E-2</v>
      </c>
      <c r="L18">
        <f t="shared" si="7"/>
        <v>0.1597500788569981</v>
      </c>
      <c r="M18">
        <f t="shared" si="8"/>
        <v>5.3709279545548372E-3</v>
      </c>
    </row>
    <row r="19" spans="2:13" ht="12.75" x14ac:dyDescent="0.2">
      <c r="B19" s="2">
        <v>37987</v>
      </c>
      <c r="C19" s="1">
        <v>30.981818181818099</v>
      </c>
      <c r="E19">
        <f t="shared" si="2"/>
        <v>30.047584374925158</v>
      </c>
      <c r="F19">
        <f t="shared" si="3"/>
        <v>29.420404997983589</v>
      </c>
      <c r="G19">
        <f t="shared" si="1"/>
        <v>30.674763751866728</v>
      </c>
      <c r="H19">
        <f t="shared" si="4"/>
        <v>0.54829251470720586</v>
      </c>
      <c r="I19">
        <f t="shared" si="0"/>
        <v>31.223056266573934</v>
      </c>
      <c r="J19">
        <f t="shared" si="5"/>
        <v>-0.2412380847558353</v>
      </c>
      <c r="K19">
        <f t="shared" si="6"/>
        <v>5.8195813536663574E-2</v>
      </c>
      <c r="L19">
        <f t="shared" si="7"/>
        <v>0.2412380847558353</v>
      </c>
      <c r="M19">
        <f t="shared" si="8"/>
        <v>7.7864405290909494E-3</v>
      </c>
    </row>
    <row r="20" spans="2:13" ht="12.75" x14ac:dyDescent="0.2">
      <c r="B20" s="2">
        <v>38018</v>
      </c>
      <c r="C20" s="1">
        <v>30.795000000000002</v>
      </c>
      <c r="E20">
        <f t="shared" si="2"/>
        <v>30.396212356176953</v>
      </c>
      <c r="F20">
        <f t="shared" si="3"/>
        <v>29.875565069521478</v>
      </c>
      <c r="G20">
        <f t="shared" si="1"/>
        <v>30.916859642832428</v>
      </c>
      <c r="H20">
        <f t="shared" si="4"/>
        <v>0.45516007153788951</v>
      </c>
      <c r="I20">
        <f t="shared" si="0"/>
        <v>31.372019714370317</v>
      </c>
      <c r="J20">
        <f t="shared" si="5"/>
        <v>-0.57701971437031574</v>
      </c>
      <c r="K20">
        <f t="shared" si="6"/>
        <v>0.33295175077200079</v>
      </c>
      <c r="L20">
        <f t="shared" si="7"/>
        <v>0.57701971437031574</v>
      </c>
      <c r="M20">
        <f t="shared" si="8"/>
        <v>1.8737448104247954E-2</v>
      </c>
    </row>
    <row r="21" spans="2:13" ht="12.75" x14ac:dyDescent="0.2">
      <c r="B21" s="2">
        <v>38047</v>
      </c>
      <c r="C21" s="1">
        <v>33.424347826086901</v>
      </c>
      <c r="E21">
        <f t="shared" si="2"/>
        <v>31.808669790052456</v>
      </c>
      <c r="F21">
        <f t="shared" si="3"/>
        <v>30.77725132500958</v>
      </c>
      <c r="G21">
        <f t="shared" si="1"/>
        <v>32.840088255095331</v>
      </c>
      <c r="H21">
        <f t="shared" si="4"/>
        <v>0.901686255488102</v>
      </c>
      <c r="I21">
        <f t="shared" si="0"/>
        <v>33.741774510583433</v>
      </c>
      <c r="J21">
        <f t="shared" si="5"/>
        <v>-0.31742668449653166</v>
      </c>
      <c r="K21">
        <f t="shared" si="6"/>
        <v>0.10075970003046066</v>
      </c>
      <c r="L21">
        <f t="shared" si="7"/>
        <v>0.31742668449653166</v>
      </c>
      <c r="M21">
        <f t="shared" si="8"/>
        <v>9.4968699508562373E-3</v>
      </c>
    </row>
    <row r="22" spans="2:13" ht="12.75" x14ac:dyDescent="0.2">
      <c r="B22" s="2">
        <v>38078</v>
      </c>
      <c r="C22" s="1">
        <v>33.357727272727203</v>
      </c>
      <c r="E22">
        <f t="shared" si="2"/>
        <v>32.531219285821706</v>
      </c>
      <c r="F22">
        <f t="shared" si="3"/>
        <v>31.595380206509795</v>
      </c>
      <c r="G22">
        <f t="shared" si="1"/>
        <v>33.467058365133617</v>
      </c>
      <c r="H22">
        <f t="shared" si="4"/>
        <v>0.8181288815002089</v>
      </c>
      <c r="I22">
        <f t="shared" si="0"/>
        <v>34.285187246633825</v>
      </c>
      <c r="J22">
        <f t="shared" si="5"/>
        <v>-0.92745997390662183</v>
      </c>
      <c r="K22">
        <f t="shared" si="6"/>
        <v>0.86018200319887161</v>
      </c>
      <c r="L22">
        <f t="shared" si="7"/>
        <v>0.92745997390662183</v>
      </c>
      <c r="M22">
        <f t="shared" si="8"/>
        <v>2.7803452145401395E-2</v>
      </c>
    </row>
    <row r="23" spans="2:13" ht="12.75" x14ac:dyDescent="0.2">
      <c r="B23" s="2">
        <v>38108</v>
      </c>
      <c r="C23" s="1">
        <v>37.589047619047598</v>
      </c>
      <c r="E23">
        <f t="shared" si="2"/>
        <v>34.890415992679578</v>
      </c>
      <c r="F23">
        <f t="shared" si="3"/>
        <v>33.132331851278749</v>
      </c>
      <c r="G23">
        <f t="shared" si="1"/>
        <v>36.648500134080408</v>
      </c>
      <c r="H23">
        <f t="shared" si="4"/>
        <v>1.5369516447689642</v>
      </c>
      <c r="I23">
        <f t="shared" si="0"/>
        <v>38.185451778849369</v>
      </c>
      <c r="J23">
        <f t="shared" si="5"/>
        <v>-0.59640415980177153</v>
      </c>
      <c r="K23">
        <f t="shared" si="6"/>
        <v>0.35569792182885701</v>
      </c>
      <c r="L23">
        <f t="shared" si="7"/>
        <v>0.59640415980177153</v>
      </c>
      <c r="M23">
        <f t="shared" si="8"/>
        <v>1.5866434442450575E-2</v>
      </c>
    </row>
    <row r="24" spans="2:13" ht="12.75" x14ac:dyDescent="0.2">
      <c r="B24" s="2">
        <v>38139</v>
      </c>
      <c r="C24" s="1">
        <v>35.437727272727201</v>
      </c>
      <c r="E24">
        <f t="shared" si="2"/>
        <v>35.145706383029975</v>
      </c>
      <c r="F24">
        <f t="shared" si="3"/>
        <v>34.071459526644013</v>
      </c>
      <c r="G24">
        <f t="shared" si="1"/>
        <v>36.219953239415936</v>
      </c>
      <c r="H24">
        <f t="shared" si="4"/>
        <v>0.93912767536526209</v>
      </c>
      <c r="I24">
        <f t="shared" si="0"/>
        <v>37.1590809147812</v>
      </c>
      <c r="J24">
        <f t="shared" si="5"/>
        <v>-1.7213536420539981</v>
      </c>
      <c r="K24">
        <f t="shared" si="6"/>
        <v>2.963058361012564</v>
      </c>
      <c r="L24">
        <f t="shared" si="7"/>
        <v>1.7213536420539981</v>
      </c>
      <c r="M24">
        <f t="shared" si="8"/>
        <v>4.8574041693095489E-2</v>
      </c>
    </row>
    <row r="25" spans="2:13" ht="12.75" x14ac:dyDescent="0.2">
      <c r="B25" s="2">
        <v>38169</v>
      </c>
      <c r="C25" s="1">
        <v>38.226818181818103</v>
      </c>
      <c r="E25">
        <f t="shared" si="2"/>
        <v>36.582874339366228</v>
      </c>
      <c r="F25">
        <f t="shared" si="3"/>
        <v>35.242895400971008</v>
      </c>
      <c r="G25">
        <f t="shared" si="1"/>
        <v>37.922853277761448</v>
      </c>
      <c r="H25">
        <f t="shared" si="4"/>
        <v>1.1714358743269944</v>
      </c>
      <c r="I25">
        <f t="shared" si="0"/>
        <v>39.094289152088443</v>
      </c>
      <c r="J25">
        <f t="shared" si="5"/>
        <v>-0.86747097027033959</v>
      </c>
      <c r="K25">
        <f t="shared" si="6"/>
        <v>0.75250588426176435</v>
      </c>
      <c r="L25">
        <f t="shared" si="7"/>
        <v>0.86747097027033959</v>
      </c>
      <c r="M25">
        <f t="shared" si="8"/>
        <v>2.2692732786296521E-2</v>
      </c>
    </row>
    <row r="26" spans="2:13" ht="12.75" x14ac:dyDescent="0.2">
      <c r="B26" s="2">
        <v>38200</v>
      </c>
      <c r="C26" s="1">
        <v>42.224090909090897</v>
      </c>
      <c r="E26">
        <f t="shared" si="2"/>
        <v>39.214189338046332</v>
      </c>
      <c r="F26">
        <f t="shared" si="3"/>
        <v>37.095284007512959</v>
      </c>
      <c r="G26">
        <f t="shared" si="1"/>
        <v>41.333094668579704</v>
      </c>
      <c r="H26">
        <f t="shared" si="4"/>
        <v>1.8523886065419564</v>
      </c>
      <c r="I26">
        <f t="shared" si="0"/>
        <v>43.185483275121662</v>
      </c>
      <c r="J26">
        <f t="shared" si="5"/>
        <v>-0.96139236603076483</v>
      </c>
      <c r="K26">
        <f t="shared" si="6"/>
        <v>0.92427528146223215</v>
      </c>
      <c r="L26">
        <f t="shared" si="7"/>
        <v>0.96139236603076483</v>
      </c>
      <c r="M26">
        <f t="shared" si="8"/>
        <v>2.2768811484909338E-2</v>
      </c>
    </row>
    <row r="27" spans="2:13" ht="12.75" x14ac:dyDescent="0.2">
      <c r="B27" s="2">
        <v>38231</v>
      </c>
      <c r="C27" s="1">
        <v>43.315909090909003</v>
      </c>
      <c r="E27">
        <f t="shared" si="2"/>
        <v>41.127414361884902</v>
      </c>
      <c r="F27">
        <f t="shared" si="3"/>
        <v>38.976049432303242</v>
      </c>
      <c r="G27">
        <f t="shared" si="1"/>
        <v>43.278779291466563</v>
      </c>
      <c r="H27">
        <f t="shared" si="4"/>
        <v>1.8807654247902887</v>
      </c>
      <c r="I27">
        <f t="shared" si="0"/>
        <v>45.159544716256853</v>
      </c>
      <c r="J27">
        <f t="shared" si="5"/>
        <v>-1.8436356253478507</v>
      </c>
      <c r="K27">
        <f t="shared" si="6"/>
        <v>3.3989923190517608</v>
      </c>
      <c r="L27">
        <f t="shared" si="7"/>
        <v>1.8436356253478507</v>
      </c>
      <c r="M27">
        <f t="shared" si="8"/>
        <v>4.2562551820822497E-2</v>
      </c>
    </row>
    <row r="28" spans="2:13" ht="12.75" x14ac:dyDescent="0.2">
      <c r="B28" s="2">
        <v>38261</v>
      </c>
      <c r="C28" s="1">
        <v>49.736190476190401</v>
      </c>
      <c r="E28">
        <f t="shared" si="2"/>
        <v>45.142931481263403</v>
      </c>
      <c r="F28">
        <f t="shared" si="3"/>
        <v>41.852558254461783</v>
      </c>
      <c r="G28">
        <f t="shared" si="1"/>
        <v>48.433304708065023</v>
      </c>
      <c r="H28">
        <f t="shared" si="4"/>
        <v>2.8765088221585442</v>
      </c>
      <c r="I28">
        <f t="shared" si="0"/>
        <v>51.309813530223565</v>
      </c>
      <c r="J28">
        <f t="shared" si="5"/>
        <v>-1.5736230540331633</v>
      </c>
      <c r="K28">
        <f t="shared" si="6"/>
        <v>2.4762895161846599</v>
      </c>
      <c r="L28">
        <f t="shared" si="7"/>
        <v>1.5736230540331633</v>
      </c>
      <c r="M28">
        <f t="shared" si="8"/>
        <v>3.1639396563483982E-2</v>
      </c>
    </row>
    <row r="29" spans="2:13" ht="12.75" x14ac:dyDescent="0.2">
      <c r="B29" s="2">
        <v>38292</v>
      </c>
      <c r="C29" s="1">
        <v>43.748636363636301</v>
      </c>
      <c r="E29">
        <f t="shared" si="2"/>
        <v>44.492570054742657</v>
      </c>
      <c r="F29">
        <f t="shared" si="3"/>
        <v>43.083977499036287</v>
      </c>
      <c r="G29">
        <f t="shared" si="1"/>
        <v>45.901162610449028</v>
      </c>
      <c r="H29">
        <f t="shared" si="4"/>
        <v>1.2314192445745042</v>
      </c>
      <c r="I29">
        <f t="shared" si="0"/>
        <v>47.132581855023531</v>
      </c>
      <c r="J29">
        <f t="shared" si="5"/>
        <v>-3.3839454913872302</v>
      </c>
      <c r="K29">
        <f t="shared" si="6"/>
        <v>11.451087088679962</v>
      </c>
      <c r="L29">
        <f t="shared" si="7"/>
        <v>3.3839454913872302</v>
      </c>
      <c r="M29">
        <f t="shared" si="8"/>
        <v>7.7349736418297885E-2</v>
      </c>
    </row>
    <row r="30" spans="2:13" ht="12.75" x14ac:dyDescent="0.2">
      <c r="B30" s="2">
        <v>38322</v>
      </c>
      <c r="C30" s="1">
        <v>39.965652173913</v>
      </c>
      <c r="E30">
        <f t="shared" si="2"/>
        <v>42.38101366076404</v>
      </c>
      <c r="F30">
        <f t="shared" si="3"/>
        <v>42.756083813638256</v>
      </c>
      <c r="G30">
        <f t="shared" si="1"/>
        <v>42.005943507889825</v>
      </c>
      <c r="H30">
        <f t="shared" si="4"/>
        <v>-0.32789368539804326</v>
      </c>
      <c r="I30">
        <f t="shared" si="0"/>
        <v>41.678049822491779</v>
      </c>
      <c r="J30">
        <f t="shared" si="5"/>
        <v>-1.7123976485787793</v>
      </c>
      <c r="K30">
        <f t="shared" si="6"/>
        <v>2.9323057068581324</v>
      </c>
      <c r="L30">
        <f t="shared" si="7"/>
        <v>1.7123976485787793</v>
      </c>
      <c r="M30">
        <f t="shared" si="8"/>
        <v>4.2846733518251509E-2</v>
      </c>
    </row>
    <row r="31" spans="2:13" ht="12.75" x14ac:dyDescent="0.2">
      <c r="B31" s="2">
        <v>38353</v>
      </c>
      <c r="C31" s="1">
        <v>44.174761904761901</v>
      </c>
      <c r="E31">
        <f t="shared" si="2"/>
        <v>43.21769784048842</v>
      </c>
      <c r="F31">
        <f t="shared" si="3"/>
        <v>42.971401183116811</v>
      </c>
      <c r="G31">
        <f t="shared" si="1"/>
        <v>43.463994497860028</v>
      </c>
      <c r="H31">
        <f t="shared" si="4"/>
        <v>0.21531736947855598</v>
      </c>
      <c r="I31">
        <f t="shared" si="0"/>
        <v>43.679311867338583</v>
      </c>
      <c r="J31">
        <f t="shared" si="5"/>
        <v>0.49545003742331772</v>
      </c>
      <c r="K31">
        <f t="shared" si="6"/>
        <v>0.24547073958276694</v>
      </c>
      <c r="L31">
        <f t="shared" si="7"/>
        <v>0.49545003742331772</v>
      </c>
      <c r="M31">
        <f t="shared" si="8"/>
        <v>1.1215680992044232E-2</v>
      </c>
    </row>
    <row r="32" spans="2:13" ht="12.75" x14ac:dyDescent="0.2">
      <c r="B32" s="2">
        <v>38384</v>
      </c>
      <c r="C32" s="1">
        <v>45.720999999999997</v>
      </c>
      <c r="E32">
        <f t="shared" si="2"/>
        <v>44.385349611544711</v>
      </c>
      <c r="F32">
        <f t="shared" si="3"/>
        <v>43.630929790305899</v>
      </c>
      <c r="G32">
        <f t="shared" si="1"/>
        <v>45.139769432783524</v>
      </c>
      <c r="H32">
        <f t="shared" si="4"/>
        <v>0.65952860718908135</v>
      </c>
      <c r="I32">
        <f t="shared" si="0"/>
        <v>45.799298039972605</v>
      </c>
      <c r="J32">
        <f t="shared" si="5"/>
        <v>-7.8298039972608535E-2</v>
      </c>
      <c r="K32">
        <f t="shared" si="6"/>
        <v>6.1305830635522036E-3</v>
      </c>
      <c r="L32">
        <f t="shared" si="7"/>
        <v>7.8298039972608535E-2</v>
      </c>
      <c r="M32">
        <f t="shared" si="8"/>
        <v>1.7125180983051233E-3</v>
      </c>
    </row>
    <row r="33" spans="2:13" ht="12.75" x14ac:dyDescent="0.2">
      <c r="B33" s="2">
        <v>38412</v>
      </c>
      <c r="C33" s="1">
        <v>53.229130434782597</v>
      </c>
      <c r="E33">
        <f t="shared" si="2"/>
        <v>48.51048340805859</v>
      </c>
      <c r="F33">
        <f t="shared" si="3"/>
        <v>45.90697121905805</v>
      </c>
      <c r="G33">
        <f t="shared" si="1"/>
        <v>51.11399559705913</v>
      </c>
      <c r="H33">
        <f t="shared" si="4"/>
        <v>2.2760414287521424</v>
      </c>
      <c r="I33">
        <f t="shared" si="0"/>
        <v>53.390037025811274</v>
      </c>
      <c r="J33">
        <f t="shared" si="5"/>
        <v>-0.16090659102867733</v>
      </c>
      <c r="K33">
        <f t="shared" si="6"/>
        <v>2.5890931036470024E-2</v>
      </c>
      <c r="L33">
        <f t="shared" si="7"/>
        <v>0.16090659102867733</v>
      </c>
      <c r="M33">
        <f t="shared" si="8"/>
        <v>3.0229047462239371E-3</v>
      </c>
    </row>
    <row r="34" spans="2:13" ht="12.75" x14ac:dyDescent="0.2">
      <c r="B34" s="2">
        <v>38443</v>
      </c>
      <c r="C34" s="1">
        <v>52.604285714285702</v>
      </c>
      <c r="E34">
        <f t="shared" si="2"/>
        <v>50.420015381679015</v>
      </c>
      <c r="F34">
        <f t="shared" si="3"/>
        <v>48.012056292115233</v>
      </c>
      <c r="G34">
        <f t="shared" si="1"/>
        <v>52.827974471242797</v>
      </c>
      <c r="H34">
        <f t="shared" si="4"/>
        <v>2.1050850730571793</v>
      </c>
      <c r="I34">
        <f t="shared" si="0"/>
        <v>54.933059544299979</v>
      </c>
      <c r="J34">
        <f t="shared" si="5"/>
        <v>-2.3287738300142777</v>
      </c>
      <c r="K34">
        <f t="shared" si="6"/>
        <v>5.4231875513593684</v>
      </c>
      <c r="L34">
        <f t="shared" si="7"/>
        <v>2.3287738300142777</v>
      </c>
      <c r="M34">
        <f t="shared" si="8"/>
        <v>4.4269659750970719E-2</v>
      </c>
    </row>
    <row r="35" spans="2:13" ht="12.75" x14ac:dyDescent="0.2">
      <c r="B35" s="2">
        <v>38473</v>
      </c>
      <c r="C35" s="1">
        <v>49.285454545454499</v>
      </c>
      <c r="E35">
        <f t="shared" si="2"/>
        <v>49.890805607798924</v>
      </c>
      <c r="F35">
        <f t="shared" si="3"/>
        <v>48.888388762605686</v>
      </c>
      <c r="G35">
        <f t="shared" si="1"/>
        <v>50.893222452992163</v>
      </c>
      <c r="H35">
        <f t="shared" si="4"/>
        <v>0.87633247049044638</v>
      </c>
      <c r="I35">
        <f t="shared" si="0"/>
        <v>51.769554923482609</v>
      </c>
      <c r="J35">
        <f t="shared" si="5"/>
        <v>-2.4841003780281099</v>
      </c>
      <c r="K35">
        <f t="shared" si="6"/>
        <v>6.1707546881193984</v>
      </c>
      <c r="L35">
        <f t="shared" si="7"/>
        <v>2.4841003780281099</v>
      </c>
      <c r="M35">
        <f t="shared" si="8"/>
        <v>5.0402302280424312E-2</v>
      </c>
    </row>
    <row r="36" spans="2:13" ht="12.75" x14ac:dyDescent="0.2">
      <c r="B36" s="2">
        <v>38504</v>
      </c>
      <c r="C36" s="1">
        <v>54.839090909090899</v>
      </c>
      <c r="E36">
        <f t="shared" si="2"/>
        <v>52.198906559093082</v>
      </c>
      <c r="F36">
        <f t="shared" si="3"/>
        <v>50.43256190746331</v>
      </c>
      <c r="G36">
        <f t="shared" si="1"/>
        <v>53.965251210722855</v>
      </c>
      <c r="H36">
        <f t="shared" si="4"/>
        <v>1.5441731448576286</v>
      </c>
      <c r="I36">
        <f t="shared" si="0"/>
        <v>55.509424355580485</v>
      </c>
      <c r="J36">
        <f t="shared" si="5"/>
        <v>-0.67033344648958604</v>
      </c>
      <c r="K36">
        <f t="shared" si="6"/>
        <v>0.44934692948260668</v>
      </c>
      <c r="L36">
        <f t="shared" si="7"/>
        <v>0.67033344648958604</v>
      </c>
      <c r="M36">
        <f t="shared" si="8"/>
        <v>1.2223642576439249E-2</v>
      </c>
    </row>
    <row r="37" spans="2:13" ht="12.75" x14ac:dyDescent="0.2">
      <c r="B37" s="2">
        <v>38534</v>
      </c>
      <c r="C37" s="1">
        <v>57.625714285714203</v>
      </c>
      <c r="E37">
        <f t="shared" si="2"/>
        <v>54.73021171100789</v>
      </c>
      <c r="F37">
        <f t="shared" si="3"/>
        <v>52.437177445152798</v>
      </c>
      <c r="G37">
        <f t="shared" si="1"/>
        <v>57.023245976862981</v>
      </c>
      <c r="H37">
        <f t="shared" si="4"/>
        <v>2.0046155376894834</v>
      </c>
      <c r="I37">
        <f t="shared" si="0"/>
        <v>59.027861514552463</v>
      </c>
      <c r="J37">
        <f t="shared" si="5"/>
        <v>-1.4021472288382597</v>
      </c>
      <c r="K37">
        <f t="shared" si="6"/>
        <v>1.966016851338811</v>
      </c>
      <c r="L37">
        <f t="shared" si="7"/>
        <v>1.4021472288382597</v>
      </c>
      <c r="M37">
        <f t="shared" si="8"/>
        <v>2.4331971346789213E-2</v>
      </c>
    </row>
    <row r="38" spans="2:13" ht="12.75" x14ac:dyDescent="0.2">
      <c r="B38" s="2">
        <v>38565</v>
      </c>
      <c r="C38" s="1">
        <v>63.950434782608703</v>
      </c>
      <c r="E38">
        <f t="shared" si="2"/>
        <v>59.030934960968793</v>
      </c>
      <c r="F38">
        <f t="shared" si="3"/>
        <v>55.512800023116171</v>
      </c>
      <c r="G38">
        <f t="shared" si="1"/>
        <v>62.549069898821415</v>
      </c>
      <c r="H38">
        <f t="shared" si="4"/>
        <v>3.0756225779633755</v>
      </c>
      <c r="I38">
        <f t="shared" si="0"/>
        <v>65.624692476784787</v>
      </c>
      <c r="J38">
        <f t="shared" si="5"/>
        <v>-1.6742576941760845</v>
      </c>
      <c r="K38">
        <f t="shared" si="6"/>
        <v>2.8031388265078192</v>
      </c>
      <c r="L38">
        <f t="shared" si="7"/>
        <v>1.6742576941760845</v>
      </c>
      <c r="M38">
        <f t="shared" si="8"/>
        <v>2.618055217087278E-2</v>
      </c>
    </row>
    <row r="39" spans="2:13" ht="12.75" x14ac:dyDescent="0.2">
      <c r="B39" s="2">
        <v>38596</v>
      </c>
      <c r="C39" s="1">
        <v>63.261363636363598</v>
      </c>
      <c r="E39">
        <f t="shared" si="2"/>
        <v>61.004195566518646</v>
      </c>
      <c r="F39">
        <f t="shared" si="3"/>
        <v>58.074231813306291</v>
      </c>
      <c r="G39">
        <f t="shared" si="1"/>
        <v>63.934159319731002</v>
      </c>
      <c r="H39">
        <f t="shared" si="4"/>
        <v>2.5614317901901154</v>
      </c>
      <c r="I39">
        <f t="shared" si="0"/>
        <v>66.495591109921122</v>
      </c>
      <c r="J39">
        <f t="shared" si="5"/>
        <v>-3.2342274735575245</v>
      </c>
      <c r="K39">
        <f t="shared" si="6"/>
        <v>10.460227350714288</v>
      </c>
      <c r="L39">
        <f t="shared" si="7"/>
        <v>3.2342274735575245</v>
      </c>
      <c r="M39">
        <f t="shared" si="8"/>
        <v>5.1124845998394529E-2</v>
      </c>
    </row>
    <row r="40" spans="2:13" ht="12.75" x14ac:dyDescent="0.2">
      <c r="B40" s="2">
        <v>38626</v>
      </c>
      <c r="C40" s="1">
        <v>58.908571428571399</v>
      </c>
      <c r="E40">
        <f t="shared" si="2"/>
        <v>60.02670300660337</v>
      </c>
      <c r="F40">
        <f t="shared" si="3"/>
        <v>58.984951455410759</v>
      </c>
      <c r="G40">
        <f t="shared" si="1"/>
        <v>61.068454557795981</v>
      </c>
      <c r="H40">
        <f t="shared" si="4"/>
        <v>0.91071964210446787</v>
      </c>
      <c r="I40">
        <f t="shared" si="0"/>
        <v>61.979174199900449</v>
      </c>
      <c r="J40">
        <f t="shared" si="5"/>
        <v>-3.0706027713290496</v>
      </c>
      <c r="K40">
        <f t="shared" si="6"/>
        <v>9.4286013792936387</v>
      </c>
      <c r="L40">
        <f t="shared" si="7"/>
        <v>3.0706027713290496</v>
      </c>
      <c r="M40">
        <f t="shared" si="8"/>
        <v>5.2124889415324858E-2</v>
      </c>
    </row>
    <row r="41" spans="2:13" ht="12.75" x14ac:dyDescent="0.2">
      <c r="B41" s="2">
        <v>38657</v>
      </c>
      <c r="C41" s="1">
        <v>55.449545454545401</v>
      </c>
      <c r="E41">
        <f t="shared" si="2"/>
        <v>57.891712589343101</v>
      </c>
      <c r="F41">
        <f t="shared" si="3"/>
        <v>58.475016091315311</v>
      </c>
      <c r="G41">
        <f t="shared" si="1"/>
        <v>57.30840908737089</v>
      </c>
      <c r="H41">
        <f t="shared" si="4"/>
        <v>-0.50993536409545981</v>
      </c>
      <c r="I41">
        <f t="shared" si="0"/>
        <v>56.798473723275428</v>
      </c>
      <c r="J41">
        <f t="shared" si="5"/>
        <v>-1.3489282687300275</v>
      </c>
      <c r="K41">
        <f t="shared" si="6"/>
        <v>1.8196074741789892</v>
      </c>
      <c r="L41">
        <f t="shared" si="7"/>
        <v>1.3489282687300275</v>
      </c>
      <c r="M41">
        <f t="shared" si="8"/>
        <v>2.4327129423194413E-2</v>
      </c>
    </row>
    <row r="42" spans="2:13" ht="12.75" x14ac:dyDescent="0.2">
      <c r="B42" s="2">
        <v>38687</v>
      </c>
      <c r="C42" s="1">
        <v>57.156818181818103</v>
      </c>
      <c r="E42">
        <f t="shared" si="2"/>
        <v>57.548925062385763</v>
      </c>
      <c r="F42">
        <f t="shared" si="3"/>
        <v>58.043045933026505</v>
      </c>
      <c r="G42">
        <f t="shared" si="1"/>
        <v>57.054804191745021</v>
      </c>
      <c r="H42">
        <f t="shared" si="4"/>
        <v>-0.4319701582888093</v>
      </c>
      <c r="I42">
        <f t="shared" si="0"/>
        <v>56.622834033456215</v>
      </c>
      <c r="J42">
        <f t="shared" si="5"/>
        <v>0.53398414836188834</v>
      </c>
      <c r="K42">
        <f t="shared" si="6"/>
        <v>0.28513907070177119</v>
      </c>
      <c r="L42">
        <f t="shared" si="7"/>
        <v>0.53398414836188834</v>
      </c>
      <c r="M42">
        <f t="shared" si="8"/>
        <v>9.3424400683618115E-3</v>
      </c>
    </row>
    <row r="43" spans="2:13" ht="12.75" x14ac:dyDescent="0.2">
      <c r="B43" s="2">
        <v>38718</v>
      </c>
      <c r="C43" s="1">
        <v>63.311818181818097</v>
      </c>
      <c r="E43">
        <f t="shared" si="2"/>
        <v>60.236995430457583</v>
      </c>
      <c r="F43">
        <f t="shared" si="3"/>
        <v>59.066401825781895</v>
      </c>
      <c r="G43">
        <f t="shared" si="1"/>
        <v>61.40758903513327</v>
      </c>
      <c r="H43">
        <f t="shared" si="4"/>
        <v>1.0233558927553843</v>
      </c>
      <c r="I43">
        <f t="shared" si="0"/>
        <v>62.430944927888653</v>
      </c>
      <c r="J43">
        <f t="shared" si="5"/>
        <v>0.88087325392944393</v>
      </c>
      <c r="K43">
        <f t="shared" si="6"/>
        <v>0.7759376894882466</v>
      </c>
      <c r="L43">
        <f t="shared" si="7"/>
        <v>0.88087325392944393</v>
      </c>
      <c r="M43">
        <f t="shared" si="8"/>
        <v>1.3913251573343905E-2</v>
      </c>
    </row>
    <row r="44" spans="2:13" ht="12.75" x14ac:dyDescent="0.2">
      <c r="B44" s="2">
        <v>38749</v>
      </c>
      <c r="C44" s="1">
        <v>60.805500000000002</v>
      </c>
      <c r="E44">
        <f t="shared" si="2"/>
        <v>60.502171316220142</v>
      </c>
      <c r="F44">
        <f t="shared" si="3"/>
        <v>59.736108749482192</v>
      </c>
      <c r="G44">
        <f t="shared" si="1"/>
        <v>61.268233882958093</v>
      </c>
      <c r="H44">
        <f t="shared" si="4"/>
        <v>0.66970692370029727</v>
      </c>
      <c r="I44">
        <f t="shared" si="0"/>
        <v>61.937940806658389</v>
      </c>
      <c r="J44">
        <f t="shared" si="5"/>
        <v>-1.1324408066583871</v>
      </c>
      <c r="K44">
        <f t="shared" si="6"/>
        <v>1.2824221805850984</v>
      </c>
      <c r="L44">
        <f t="shared" si="7"/>
        <v>1.1324408066583871</v>
      </c>
      <c r="M44">
        <f t="shared" si="8"/>
        <v>1.8623986426530282E-2</v>
      </c>
    </row>
    <row r="45" spans="2:13" ht="12.75" x14ac:dyDescent="0.2">
      <c r="B45" s="2">
        <v>38777</v>
      </c>
      <c r="C45" s="1">
        <v>62.746956521739101</v>
      </c>
      <c r="E45">
        <f t="shared" si="2"/>
        <v>61.549239250430915</v>
      </c>
      <c r="F45">
        <f t="shared" si="3"/>
        <v>60.581833678270662</v>
      </c>
      <c r="G45">
        <f t="shared" si="1"/>
        <v>62.516644822591168</v>
      </c>
      <c r="H45">
        <f t="shared" si="4"/>
        <v>0.84572492878847394</v>
      </c>
      <c r="I45">
        <f t="shared" si="0"/>
        <v>63.362369751379639</v>
      </c>
      <c r="J45">
        <f t="shared" si="5"/>
        <v>-0.61541322964053791</v>
      </c>
      <c r="K45">
        <f t="shared" si="6"/>
        <v>0.37873344321659747</v>
      </c>
      <c r="L45">
        <f t="shared" si="7"/>
        <v>0.61541322964053791</v>
      </c>
      <c r="M45">
        <f t="shared" si="8"/>
        <v>9.8078578429110566E-3</v>
      </c>
    </row>
    <row r="46" spans="2:13" ht="12.75" x14ac:dyDescent="0.2">
      <c r="B46" s="2">
        <v>38808</v>
      </c>
      <c r="C46" s="1">
        <v>70.34</v>
      </c>
      <c r="E46">
        <f t="shared" si="2"/>
        <v>65.649642119962735</v>
      </c>
      <c r="F46">
        <f t="shared" si="3"/>
        <v>62.945685552816371</v>
      </c>
      <c r="G46">
        <f t="shared" si="1"/>
        <v>68.353598687109098</v>
      </c>
      <c r="H46">
        <f t="shared" si="4"/>
        <v>2.3638518745457162</v>
      </c>
      <c r="I46">
        <f t="shared" si="0"/>
        <v>70.717450561654815</v>
      </c>
      <c r="J46">
        <f t="shared" si="5"/>
        <v>-0.37745056165481117</v>
      </c>
      <c r="K46">
        <f t="shared" si="6"/>
        <v>0.14246892649353241</v>
      </c>
      <c r="L46">
        <f t="shared" si="7"/>
        <v>0.37745056165481117</v>
      </c>
      <c r="M46">
        <f t="shared" si="8"/>
        <v>5.3660870294968887E-3</v>
      </c>
    </row>
    <row r="47" spans="2:13" ht="12.75" x14ac:dyDescent="0.2">
      <c r="B47" s="2">
        <v>38838</v>
      </c>
      <c r="C47" s="1">
        <v>70.510000000000005</v>
      </c>
      <c r="E47">
        <f t="shared" si="2"/>
        <v>67.916729800540708</v>
      </c>
      <c r="F47">
        <f t="shared" si="3"/>
        <v>65.264402291744531</v>
      </c>
      <c r="G47">
        <f t="shared" si="1"/>
        <v>70.569057309336884</v>
      </c>
      <c r="H47">
        <f t="shared" si="4"/>
        <v>2.3187167389281647</v>
      </c>
      <c r="I47">
        <f t="shared" si="0"/>
        <v>72.887774048265044</v>
      </c>
      <c r="J47">
        <f t="shared" si="5"/>
        <v>-2.3777740482650387</v>
      </c>
      <c r="K47">
        <f t="shared" si="6"/>
        <v>5.6538094246027102</v>
      </c>
      <c r="L47">
        <f t="shared" si="7"/>
        <v>2.3777740482650387</v>
      </c>
      <c r="M47">
        <f t="shared" si="8"/>
        <v>3.3722508130265755E-2</v>
      </c>
    </row>
    <row r="48" spans="2:13" ht="12.75" x14ac:dyDescent="0.2">
      <c r="B48" s="2">
        <v>38869</v>
      </c>
      <c r="C48" s="1">
        <v>69.232727272727203</v>
      </c>
      <c r="E48">
        <f t="shared" si="2"/>
        <v>68.530569713259823</v>
      </c>
      <c r="F48">
        <f t="shared" si="3"/>
        <v>66.787888443748969</v>
      </c>
      <c r="G48">
        <f t="shared" si="1"/>
        <v>70.273250982770676</v>
      </c>
      <c r="H48">
        <f t="shared" si="4"/>
        <v>1.5234861520044369</v>
      </c>
      <c r="I48">
        <f t="shared" si="0"/>
        <v>71.796737134775114</v>
      </c>
      <c r="J48">
        <f t="shared" si="5"/>
        <v>-2.5640098620479108</v>
      </c>
      <c r="K48">
        <f t="shared" si="6"/>
        <v>6.5741465726789468</v>
      </c>
      <c r="L48">
        <f t="shared" si="7"/>
        <v>2.5640098620479108</v>
      </c>
      <c r="M48">
        <f t="shared" si="8"/>
        <v>3.7034650562696371E-2</v>
      </c>
    </row>
    <row r="49" spans="2:13" ht="12.75" x14ac:dyDescent="0.2">
      <c r="B49" s="2">
        <v>38899</v>
      </c>
      <c r="C49" s="1">
        <v>74.040952380952305</v>
      </c>
      <c r="E49">
        <f t="shared" si="2"/>
        <v>71.100857945018632</v>
      </c>
      <c r="F49">
        <f t="shared" si="3"/>
        <v>68.799649771695044</v>
      </c>
      <c r="G49">
        <f t="shared" si="1"/>
        <v>73.402066118342219</v>
      </c>
      <c r="H49">
        <f t="shared" si="4"/>
        <v>2.0117613279460778</v>
      </c>
      <c r="I49">
        <f t="shared" si="0"/>
        <v>75.413827446288295</v>
      </c>
      <c r="J49">
        <f t="shared" si="5"/>
        <v>-1.3728750653359896</v>
      </c>
      <c r="K49">
        <f t="shared" si="6"/>
        <v>1.8847859450212976</v>
      </c>
      <c r="L49">
        <f t="shared" si="7"/>
        <v>1.3728750653359896</v>
      </c>
      <c r="M49">
        <f t="shared" si="8"/>
        <v>1.8542104351553072E-2</v>
      </c>
    </row>
    <row r="50" spans="2:13" ht="12.75" x14ac:dyDescent="0.2">
      <c r="B50" s="2">
        <v>38930</v>
      </c>
      <c r="C50" s="1">
        <v>73.500434782608707</v>
      </c>
      <c r="E50">
        <f t="shared" si="2"/>
        <v>72.220127599922932</v>
      </c>
      <c r="F50">
        <f t="shared" si="3"/>
        <v>70.395113179423788</v>
      </c>
      <c r="G50">
        <f t="shared" si="1"/>
        <v>74.045142020422077</v>
      </c>
      <c r="H50">
        <f t="shared" si="4"/>
        <v>1.5954634077287488</v>
      </c>
      <c r="I50">
        <f t="shared" si="0"/>
        <v>75.64060542815082</v>
      </c>
      <c r="J50">
        <f t="shared" si="5"/>
        <v>-2.1401706455421134</v>
      </c>
      <c r="K50">
        <f t="shared" si="6"/>
        <v>4.580330392040147</v>
      </c>
      <c r="L50">
        <f t="shared" si="7"/>
        <v>2.1401706455421134</v>
      </c>
      <c r="M50">
        <f t="shared" si="8"/>
        <v>2.9117795722869787E-2</v>
      </c>
    </row>
    <row r="51" spans="2:13" ht="12.75" x14ac:dyDescent="0.2">
      <c r="B51" s="2">
        <v>38961</v>
      </c>
      <c r="C51" s="1">
        <v>62.527142857142799</v>
      </c>
      <c r="E51">
        <f t="shared" si="2"/>
        <v>67.698887221998632</v>
      </c>
      <c r="F51">
        <f t="shared" si="3"/>
        <v>69.137473144882506</v>
      </c>
      <c r="G51">
        <f t="shared" si="1"/>
        <v>66.260301299114758</v>
      </c>
      <c r="H51">
        <f t="shared" si="4"/>
        <v>-1.257640034541299</v>
      </c>
      <c r="I51">
        <f t="shared" si="0"/>
        <v>65.002661264573462</v>
      </c>
      <c r="J51">
        <f t="shared" si="5"/>
        <v>-2.4755184074306626</v>
      </c>
      <c r="K51">
        <f t="shared" si="6"/>
        <v>6.1281913855280443</v>
      </c>
      <c r="L51">
        <f t="shared" si="7"/>
        <v>2.4755184074306626</v>
      </c>
      <c r="M51">
        <f t="shared" si="8"/>
        <v>3.9591100669457049E-2</v>
      </c>
    </row>
    <row r="52" spans="2:13" ht="12.75" x14ac:dyDescent="0.2">
      <c r="B52" s="2">
        <v>38991</v>
      </c>
      <c r="C52" s="1">
        <v>58.758181818181797</v>
      </c>
      <c r="E52">
        <f t="shared" si="2"/>
        <v>63.52854347839871</v>
      </c>
      <c r="F52">
        <f t="shared" si="3"/>
        <v>66.52121819782576</v>
      </c>
      <c r="G52">
        <f t="shared" si="1"/>
        <v>60.53586875897166</v>
      </c>
      <c r="H52">
        <f t="shared" si="4"/>
        <v>-2.6162549470567309</v>
      </c>
      <c r="I52">
        <f t="shared" si="0"/>
        <v>57.919613811914928</v>
      </c>
      <c r="J52">
        <f t="shared" si="5"/>
        <v>0.83856800626686834</v>
      </c>
      <c r="K52">
        <f t="shared" si="6"/>
        <v>0.70319630113439058</v>
      </c>
      <c r="L52">
        <f t="shared" si="7"/>
        <v>0.83856800626686834</v>
      </c>
      <c r="M52">
        <f t="shared" si="8"/>
        <v>1.4271510457244724E-2</v>
      </c>
    </row>
    <row r="53" spans="2:13" ht="12.75" x14ac:dyDescent="0.2">
      <c r="B53" s="2">
        <v>39022</v>
      </c>
      <c r="C53" s="1">
        <v>59.222727272727198</v>
      </c>
      <c r="E53">
        <f t="shared" si="2"/>
        <v>61.52011876654683</v>
      </c>
      <c r="F53">
        <f t="shared" si="3"/>
        <v>64.188482380867555</v>
      </c>
      <c r="G53">
        <f t="shared" si="1"/>
        <v>58.851755152226104</v>
      </c>
      <c r="H53">
        <f t="shared" si="4"/>
        <v>-2.3327358169581878</v>
      </c>
      <c r="I53">
        <f t="shared" si="0"/>
        <v>56.519019335267913</v>
      </c>
      <c r="J53">
        <f t="shared" si="5"/>
        <v>2.7037079374592849</v>
      </c>
      <c r="K53">
        <f t="shared" si="6"/>
        <v>7.3100366110803403</v>
      </c>
      <c r="L53">
        <f t="shared" si="7"/>
        <v>2.7037079374592849</v>
      </c>
      <c r="M53">
        <f t="shared" si="8"/>
        <v>4.5653215614478736E-2</v>
      </c>
    </row>
    <row r="54" spans="2:13" ht="12.75" x14ac:dyDescent="0.2">
      <c r="B54" s="2">
        <v>39052</v>
      </c>
      <c r="C54" s="1">
        <v>62.260476190476098</v>
      </c>
      <c r="E54">
        <f t="shared" si="2"/>
        <v>61.865454487998193</v>
      </c>
      <c r="F54">
        <f t="shared" si="3"/>
        <v>63.104918567759469</v>
      </c>
      <c r="G54">
        <f t="shared" si="1"/>
        <v>60.625990408236916</v>
      </c>
      <c r="H54">
        <f t="shared" si="4"/>
        <v>-1.08356381310809</v>
      </c>
      <c r="I54">
        <f t="shared" si="0"/>
        <v>59.542426595128823</v>
      </c>
      <c r="J54">
        <f t="shared" si="5"/>
        <v>2.7180495953472743</v>
      </c>
      <c r="K54">
        <f t="shared" si="6"/>
        <v>7.3877936027674815</v>
      </c>
      <c r="L54">
        <f t="shared" si="7"/>
        <v>2.7180495953472743</v>
      </c>
      <c r="M54">
        <f t="shared" si="8"/>
        <v>4.3656100332927598E-2</v>
      </c>
    </row>
    <row r="55" spans="2:13" ht="12.75" x14ac:dyDescent="0.2">
      <c r="B55" s="2">
        <v>39083</v>
      </c>
      <c r="C55" s="1">
        <v>54.5030434782608</v>
      </c>
      <c r="E55">
        <f t="shared" si="2"/>
        <v>58.431297639573017</v>
      </c>
      <c r="F55">
        <f t="shared" si="3"/>
        <v>60.924933329737939</v>
      </c>
      <c r="G55">
        <f t="shared" si="1"/>
        <v>55.937661949408096</v>
      </c>
      <c r="H55">
        <f t="shared" si="4"/>
        <v>-2.1799852380215325</v>
      </c>
      <c r="I55">
        <f t="shared" si="0"/>
        <v>53.757676711386566</v>
      </c>
      <c r="J55">
        <f t="shared" si="5"/>
        <v>0.74536676687423409</v>
      </c>
      <c r="K55">
        <f t="shared" si="6"/>
        <v>0.55557161716054881</v>
      </c>
      <c r="L55">
        <f t="shared" si="7"/>
        <v>0.74536676687423409</v>
      </c>
      <c r="M55">
        <f t="shared" si="8"/>
        <v>1.3675690737738942E-2</v>
      </c>
    </row>
    <row r="56" spans="2:13" ht="12.75" x14ac:dyDescent="0.2">
      <c r="B56" s="2">
        <v>39114</v>
      </c>
      <c r="C56" s="1">
        <v>57.969499999999996</v>
      </c>
      <c r="E56">
        <f t="shared" si="2"/>
        <v>58.215894624931643</v>
      </c>
      <c r="F56">
        <f t="shared" si="3"/>
        <v>59.661316858387039</v>
      </c>
      <c r="G56">
        <f t="shared" si="1"/>
        <v>56.770472391476247</v>
      </c>
      <c r="H56">
        <f t="shared" si="4"/>
        <v>-1.2636164713509048</v>
      </c>
      <c r="I56">
        <f t="shared" si="0"/>
        <v>55.506855920125339</v>
      </c>
      <c r="J56">
        <f t="shared" si="5"/>
        <v>2.4626440798746572</v>
      </c>
      <c r="K56">
        <f t="shared" si="6"/>
        <v>6.0646158641416967</v>
      </c>
      <c r="L56">
        <f t="shared" si="7"/>
        <v>2.4626440798746572</v>
      </c>
      <c r="M56">
        <f t="shared" si="8"/>
        <v>4.24817202127784E-2</v>
      </c>
    </row>
    <row r="57" spans="2:13" ht="12.75" x14ac:dyDescent="0.2">
      <c r="B57" s="2">
        <v>39142</v>
      </c>
      <c r="C57" s="1">
        <v>62.357272727272701</v>
      </c>
      <c r="E57">
        <f t="shared" si="2"/>
        <v>60.147618071675197</v>
      </c>
      <c r="F57">
        <f t="shared" si="3"/>
        <v>59.888149432635103</v>
      </c>
      <c r="G57">
        <f t="shared" si="1"/>
        <v>60.407086710715291</v>
      </c>
      <c r="H57">
        <f t="shared" si="4"/>
        <v>0.22683257424805797</v>
      </c>
      <c r="I57">
        <f t="shared" si="0"/>
        <v>60.633919284963348</v>
      </c>
      <c r="J57">
        <f t="shared" si="5"/>
        <v>1.7233534423093531</v>
      </c>
      <c r="K57">
        <f t="shared" si="6"/>
        <v>2.9699470871194968</v>
      </c>
      <c r="L57">
        <f t="shared" si="7"/>
        <v>1.7233534423093531</v>
      </c>
      <c r="M57">
        <f t="shared" si="8"/>
        <v>2.7636767403966721E-2</v>
      </c>
    </row>
    <row r="58" spans="2:13" ht="12.75" x14ac:dyDescent="0.2">
      <c r="B58" s="2">
        <v>39173</v>
      </c>
      <c r="C58" s="1">
        <v>67.690476190476105</v>
      </c>
      <c r="E58">
        <f t="shared" si="2"/>
        <v>63.665943499462401</v>
      </c>
      <c r="F58">
        <f t="shared" si="3"/>
        <v>61.650281069863233</v>
      </c>
      <c r="G58">
        <f t="shared" si="1"/>
        <v>65.681605929061561</v>
      </c>
      <c r="H58">
        <f t="shared" si="4"/>
        <v>1.7621316372281262</v>
      </c>
      <c r="I58">
        <f t="shared" si="0"/>
        <v>67.443737566289684</v>
      </c>
      <c r="J58">
        <f t="shared" si="5"/>
        <v>0.24673862418642045</v>
      </c>
      <c r="K58">
        <f t="shared" si="6"/>
        <v>6.0879948665407628E-2</v>
      </c>
      <c r="L58">
        <f t="shared" si="7"/>
        <v>0.24673862418642045</v>
      </c>
      <c r="M58">
        <f t="shared" si="8"/>
        <v>3.6451010256171902E-3</v>
      </c>
    </row>
    <row r="59" spans="2:13" ht="12.75" x14ac:dyDescent="0.2">
      <c r="B59" s="2">
        <v>39203</v>
      </c>
      <c r="C59" s="1">
        <v>67.717826086956507</v>
      </c>
      <c r="E59">
        <f t="shared" si="2"/>
        <v>65.555922246703503</v>
      </c>
      <c r="F59">
        <f t="shared" si="3"/>
        <v>63.472046301008049</v>
      </c>
      <c r="G59">
        <f t="shared" si="1"/>
        <v>67.639798192398956</v>
      </c>
      <c r="H59">
        <f t="shared" si="4"/>
        <v>1.8217652311448111</v>
      </c>
      <c r="I59">
        <f t="shared" si="0"/>
        <v>69.461563423543765</v>
      </c>
      <c r="J59">
        <f t="shared" si="5"/>
        <v>-1.7437373365872588</v>
      </c>
      <c r="K59">
        <f t="shared" si="6"/>
        <v>3.0406198990084272</v>
      </c>
      <c r="L59">
        <f t="shared" si="7"/>
        <v>1.7437373365872588</v>
      </c>
      <c r="M59">
        <f t="shared" si="8"/>
        <v>2.5750048950894031E-2</v>
      </c>
    </row>
    <row r="60" spans="2:13" ht="12.75" x14ac:dyDescent="0.2">
      <c r="B60" s="2">
        <v>39234</v>
      </c>
      <c r="C60" s="1">
        <v>70.619047619047606</v>
      </c>
      <c r="E60">
        <f t="shared" si="2"/>
        <v>67.917589728846821</v>
      </c>
      <c r="F60">
        <f t="shared" si="3"/>
        <v>65.545646020922163</v>
      </c>
      <c r="G60">
        <f t="shared" si="1"/>
        <v>70.289533436771478</v>
      </c>
      <c r="H60">
        <f t="shared" si="4"/>
        <v>2.0735997199141103</v>
      </c>
      <c r="I60">
        <f t="shared" si="0"/>
        <v>72.363133156685592</v>
      </c>
      <c r="J60">
        <f t="shared" si="5"/>
        <v>-1.7440855376379858</v>
      </c>
      <c r="K60">
        <f t="shared" si="6"/>
        <v>3.041834362597982</v>
      </c>
      <c r="L60">
        <f t="shared" si="7"/>
        <v>1.7440855376379858</v>
      </c>
      <c r="M60">
        <f t="shared" si="8"/>
        <v>2.4697097970598589E-2</v>
      </c>
    </row>
    <row r="61" spans="2:13" ht="12.75" x14ac:dyDescent="0.2">
      <c r="B61" s="2">
        <v>39264</v>
      </c>
      <c r="C61" s="1">
        <v>76.133181818181797</v>
      </c>
      <c r="E61">
        <f t="shared" si="2"/>
        <v>71.749708283508141</v>
      </c>
      <c r="F61">
        <f t="shared" si="3"/>
        <v>68.439497352902578</v>
      </c>
      <c r="G61">
        <f t="shared" si="1"/>
        <v>75.059919214113705</v>
      </c>
      <c r="H61">
        <f t="shared" si="4"/>
        <v>2.8938513319804104</v>
      </c>
      <c r="I61">
        <f t="shared" si="0"/>
        <v>77.95377054609412</v>
      </c>
      <c r="J61">
        <f t="shared" si="5"/>
        <v>-1.8205887279123232</v>
      </c>
      <c r="K61">
        <f t="shared" si="6"/>
        <v>3.3145433162014113</v>
      </c>
      <c r="L61">
        <f t="shared" si="7"/>
        <v>1.8205887279123232</v>
      </c>
      <c r="M61">
        <f t="shared" si="8"/>
        <v>2.3913209515664009E-2</v>
      </c>
    </row>
    <row r="62" spans="2:13" ht="12.75" x14ac:dyDescent="0.2">
      <c r="B62" s="2">
        <v>39295</v>
      </c>
      <c r="C62" s="1">
        <v>71.313043478260795</v>
      </c>
      <c r="E62">
        <f t="shared" si="2"/>
        <v>71.546028343686373</v>
      </c>
      <c r="F62">
        <f t="shared" si="3"/>
        <v>69.888521954046894</v>
      </c>
      <c r="G62">
        <f t="shared" si="1"/>
        <v>73.203534733325853</v>
      </c>
      <c r="H62">
        <f t="shared" si="4"/>
        <v>1.449024601144306</v>
      </c>
      <c r="I62">
        <f t="shared" si="0"/>
        <v>74.652559334470155</v>
      </c>
      <c r="J62">
        <f t="shared" si="5"/>
        <v>-3.3395158562093599</v>
      </c>
      <c r="K62">
        <f t="shared" si="6"/>
        <v>11.152366153873734</v>
      </c>
      <c r="L62">
        <f t="shared" si="7"/>
        <v>3.3395158562093599</v>
      </c>
      <c r="M62">
        <f t="shared" si="8"/>
        <v>4.6828962744064964E-2</v>
      </c>
    </row>
    <row r="63" spans="2:13" ht="12.75" x14ac:dyDescent="0.2">
      <c r="B63" s="2">
        <v>39326</v>
      </c>
      <c r="C63" s="1">
        <v>76.772000000000006</v>
      </c>
      <c r="E63">
        <f t="shared" si="2"/>
        <v>73.983654595395109</v>
      </c>
      <c r="F63">
        <f t="shared" si="3"/>
        <v>71.798674455298936</v>
      </c>
      <c r="G63">
        <f t="shared" si="1"/>
        <v>76.168634735491281</v>
      </c>
      <c r="H63">
        <f t="shared" si="4"/>
        <v>1.9101525012520373</v>
      </c>
      <c r="I63">
        <f t="shared" si="0"/>
        <v>78.078787236743324</v>
      </c>
      <c r="J63">
        <f t="shared" si="5"/>
        <v>-1.3067872367433182</v>
      </c>
      <c r="K63">
        <f t="shared" si="6"/>
        <v>1.7076928821152373</v>
      </c>
      <c r="L63">
        <f t="shared" si="7"/>
        <v>1.3067872367433182</v>
      </c>
      <c r="M63">
        <f t="shared" si="8"/>
        <v>1.7021664626990545E-2</v>
      </c>
    </row>
    <row r="64" spans="2:13" ht="12.75" x14ac:dyDescent="0.2">
      <c r="B64" s="2">
        <v>39356</v>
      </c>
      <c r="C64" s="1">
        <v>82.507391304347806</v>
      </c>
      <c r="E64">
        <f t="shared" si="2"/>
        <v>77.959505543475643</v>
      </c>
      <c r="F64">
        <f t="shared" si="3"/>
        <v>74.672360839483488</v>
      </c>
      <c r="G64">
        <f t="shared" si="1"/>
        <v>81.246650247467798</v>
      </c>
      <c r="H64">
        <f t="shared" si="4"/>
        <v>2.8736863841845417</v>
      </c>
      <c r="I64">
        <f t="shared" si="0"/>
        <v>84.120336631652336</v>
      </c>
      <c r="J64">
        <f t="shared" si="5"/>
        <v>-1.61294532730453</v>
      </c>
      <c r="K64">
        <f t="shared" si="6"/>
        <v>2.6015926288735174</v>
      </c>
      <c r="L64">
        <f t="shared" si="7"/>
        <v>1.61294532730453</v>
      </c>
      <c r="M64">
        <f t="shared" si="8"/>
        <v>1.9549101017565858E-2</v>
      </c>
    </row>
    <row r="65" spans="2:13" ht="12.75" x14ac:dyDescent="0.2">
      <c r="B65" s="2">
        <v>39387</v>
      </c>
      <c r="C65" s="1">
        <v>92.731363636363596</v>
      </c>
      <c r="E65">
        <f t="shared" si="2"/>
        <v>84.849758962710581</v>
      </c>
      <c r="F65">
        <f t="shared" si="3"/>
        <v>79.419553222223954</v>
      </c>
      <c r="G65">
        <f t="shared" si="1"/>
        <v>90.279964703197209</v>
      </c>
      <c r="H65">
        <f t="shared" si="4"/>
        <v>4.7471923827404465</v>
      </c>
      <c r="I65">
        <f t="shared" si="0"/>
        <v>95.02715708593766</v>
      </c>
      <c r="J65">
        <f t="shared" si="5"/>
        <v>-2.2957934495740631</v>
      </c>
      <c r="K65">
        <f t="shared" si="6"/>
        <v>5.2706675631071764</v>
      </c>
      <c r="L65">
        <f t="shared" si="7"/>
        <v>2.2957934495740631</v>
      </c>
      <c r="M65">
        <f t="shared" si="8"/>
        <v>2.4757464568048178E-2</v>
      </c>
    </row>
    <row r="66" spans="2:13" ht="12.75" x14ac:dyDescent="0.2">
      <c r="B66" s="2">
        <v>39417</v>
      </c>
      <c r="C66" s="1">
        <v>91.519523809523804</v>
      </c>
      <c r="E66">
        <f t="shared" si="2"/>
        <v>87.960834749674291</v>
      </c>
      <c r="F66">
        <f t="shared" si="3"/>
        <v>83.403587856126734</v>
      </c>
      <c r="G66">
        <f t="shared" si="1"/>
        <v>92.518081643221848</v>
      </c>
      <c r="H66">
        <f t="shared" si="4"/>
        <v>3.9840346339028003</v>
      </c>
      <c r="I66">
        <f t="shared" si="0"/>
        <v>96.502116277124642</v>
      </c>
      <c r="J66">
        <f t="shared" si="5"/>
        <v>-4.9825924676008384</v>
      </c>
      <c r="K66">
        <f t="shared" si="6"/>
        <v>24.826227698192611</v>
      </c>
      <c r="L66">
        <f t="shared" si="7"/>
        <v>4.9825924676008384</v>
      </c>
      <c r="M66">
        <f t="shared" si="8"/>
        <v>5.4442945725667491E-2</v>
      </c>
    </row>
    <row r="67" spans="2:13" ht="12.75" x14ac:dyDescent="0.2">
      <c r="B67" s="2">
        <v>39448</v>
      </c>
      <c r="C67" s="1">
        <v>92.091739130434703</v>
      </c>
      <c r="E67">
        <f t="shared" si="2"/>
        <v>89.887672785558948</v>
      </c>
      <c r="F67">
        <f t="shared" si="3"/>
        <v>86.428054248553025</v>
      </c>
      <c r="G67">
        <f t="shared" si="1"/>
        <v>93.347291322564871</v>
      </c>
      <c r="H67">
        <f t="shared" si="4"/>
        <v>3.0244663924262984</v>
      </c>
      <c r="I67">
        <f t="shared" si="0"/>
        <v>96.371757714991176</v>
      </c>
      <c r="J67">
        <f t="shared" si="5"/>
        <v>-4.2800185845564727</v>
      </c>
      <c r="K67">
        <f t="shared" si="6"/>
        <v>18.318559084148792</v>
      </c>
      <c r="L67">
        <f t="shared" si="7"/>
        <v>4.2800185845564727</v>
      </c>
      <c r="M67">
        <f t="shared" si="8"/>
        <v>4.6475597322518165E-2</v>
      </c>
    </row>
    <row r="68" spans="2:13" ht="12.75" x14ac:dyDescent="0.2">
      <c r="B68" s="2">
        <v>39479</v>
      </c>
      <c r="C68" s="1">
        <v>94.722380952380902</v>
      </c>
      <c r="E68">
        <f t="shared" si="2"/>
        <v>92.142796295951086</v>
      </c>
      <c r="F68">
        <f t="shared" si="3"/>
        <v>89.093664809155968</v>
      </c>
      <c r="G68">
        <f t="shared" si="1"/>
        <v>95.191927782746205</v>
      </c>
      <c r="H68">
        <f t="shared" si="4"/>
        <v>2.6656105606029361</v>
      </c>
      <c r="I68">
        <f t="shared" si="0"/>
        <v>97.857538343349148</v>
      </c>
      <c r="J68">
        <f t="shared" si="5"/>
        <v>-3.1351573909682457</v>
      </c>
      <c r="K68">
        <f t="shared" si="6"/>
        <v>9.8292118661428169</v>
      </c>
      <c r="L68">
        <f t="shared" si="7"/>
        <v>3.1351573909682457</v>
      </c>
      <c r="M68">
        <f t="shared" si="8"/>
        <v>3.3098380334678885E-2</v>
      </c>
    </row>
    <row r="69" spans="2:13" ht="12.75" x14ac:dyDescent="0.2">
      <c r="B69" s="2">
        <v>39508</v>
      </c>
      <c r="C69" s="1">
        <v>103.161904761904</v>
      </c>
      <c r="E69">
        <f t="shared" si="2"/>
        <v>97.282599921671476</v>
      </c>
      <c r="F69">
        <f t="shared" si="3"/>
        <v>92.913349360963892</v>
      </c>
      <c r="G69">
        <f t="shared" si="1"/>
        <v>101.65185048237906</v>
      </c>
      <c r="H69">
        <f t="shared" si="4"/>
        <v>3.8196845518079221</v>
      </c>
      <c r="I69">
        <f t="shared" si="0"/>
        <v>105.47153503418699</v>
      </c>
      <c r="J69">
        <f t="shared" si="5"/>
        <v>-2.3096302722829876</v>
      </c>
      <c r="K69">
        <f t="shared" si="6"/>
        <v>5.334391994645987</v>
      </c>
      <c r="L69">
        <f t="shared" si="7"/>
        <v>2.3096302722829876</v>
      </c>
      <c r="M69">
        <f t="shared" si="8"/>
        <v>2.2388402750158371E-2</v>
      </c>
    </row>
    <row r="70" spans="2:13" ht="12.75" x14ac:dyDescent="0.2">
      <c r="B70" s="2">
        <v>39539</v>
      </c>
      <c r="C70" s="1">
        <v>110.03318181818101</v>
      </c>
      <c r="E70">
        <f t="shared" si="2"/>
        <v>103.23003997675556</v>
      </c>
      <c r="F70">
        <f t="shared" si="3"/>
        <v>97.725513974491548</v>
      </c>
      <c r="G70">
        <f t="shared" si="1"/>
        <v>108.73456597901958</v>
      </c>
      <c r="H70">
        <f t="shared" si="4"/>
        <v>4.8121646135276492</v>
      </c>
      <c r="I70">
        <f t="shared" si="0"/>
        <v>113.54673059254722</v>
      </c>
      <c r="J70">
        <f t="shared" si="5"/>
        <v>-3.5135487743662139</v>
      </c>
      <c r="K70">
        <f t="shared" si="6"/>
        <v>12.345024989850325</v>
      </c>
      <c r="L70">
        <f t="shared" si="7"/>
        <v>3.5135487743662139</v>
      </c>
      <c r="M70">
        <f t="shared" si="8"/>
        <v>3.1931720198476191E-2</v>
      </c>
    </row>
    <row r="71" spans="2:13" ht="12.75" x14ac:dyDescent="0.2">
      <c r="B71" s="2">
        <v>39569</v>
      </c>
      <c r="C71" s="1">
        <v>123.862272727272</v>
      </c>
      <c r="E71">
        <f t="shared" si="2"/>
        <v>112.85383350102057</v>
      </c>
      <c r="F71">
        <f t="shared" si="3"/>
        <v>104.78203690407015</v>
      </c>
      <c r="G71">
        <f t="shared" si="1"/>
        <v>120.92563009797099</v>
      </c>
      <c r="H71">
        <f t="shared" si="4"/>
        <v>7.0565229295786125</v>
      </c>
      <c r="I71">
        <f t="shared" si="0"/>
        <v>127.9821530275496</v>
      </c>
      <c r="J71">
        <f t="shared" si="5"/>
        <v>-4.1198803002776003</v>
      </c>
      <c r="K71">
        <f t="shared" si="6"/>
        <v>16.973413688615452</v>
      </c>
      <c r="L71">
        <f t="shared" si="7"/>
        <v>4.1198803002776003</v>
      </c>
      <c r="M71">
        <f t="shared" si="8"/>
        <v>3.3261785122811534E-2</v>
      </c>
    </row>
    <row r="72" spans="2:13" ht="12.75" x14ac:dyDescent="0.2">
      <c r="B72" s="2">
        <v>39600</v>
      </c>
      <c r="C72" s="1">
        <v>132.760476190476</v>
      </c>
      <c r="E72">
        <f t="shared" si="2"/>
        <v>122.13917946048021</v>
      </c>
      <c r="F72">
        <f t="shared" si="3"/>
        <v>112.87818229725076</v>
      </c>
      <c r="G72">
        <f t="shared" ref="G72:G135" si="9">2*E72-F72</f>
        <v>131.40017662370965</v>
      </c>
      <c r="H72">
        <f t="shared" si="4"/>
        <v>8.0961453931806115</v>
      </c>
      <c r="I72">
        <f t="shared" ref="I72:I135" si="10">G72+H72</f>
        <v>139.49632201689028</v>
      </c>
      <c r="J72">
        <f t="shared" si="5"/>
        <v>-6.7358458264142769</v>
      </c>
      <c r="K72">
        <f t="shared" si="6"/>
        <v>45.371618997222633</v>
      </c>
      <c r="L72">
        <f t="shared" si="7"/>
        <v>6.7358458264142769</v>
      </c>
      <c r="M72">
        <f t="shared" si="8"/>
        <v>5.0736830867871612E-2</v>
      </c>
    </row>
    <row r="73" spans="2:13" ht="12.75" x14ac:dyDescent="0.2">
      <c r="B73" s="2">
        <v>39630</v>
      </c>
      <c r="C73" s="1">
        <v>133.58521739130401</v>
      </c>
      <c r="E73">
        <f t="shared" ref="E73:E136" si="11">$D$2*C73+(1-$D$2)*E72</f>
        <v>127.4781220290879</v>
      </c>
      <c r="F73">
        <f t="shared" ref="F73:F136" si="12">$D$2*E73+(1-$D$2)*F72</f>
        <v>119.68824532556729</v>
      </c>
      <c r="G73">
        <f t="shared" si="9"/>
        <v>135.2679987326085</v>
      </c>
      <c r="H73">
        <f t="shared" ref="H73:H136" si="13">($D$2/(1-$D$2))*(E73-F73)</f>
        <v>6.8100630283165495</v>
      </c>
      <c r="I73">
        <f t="shared" si="10"/>
        <v>142.07806176092507</v>
      </c>
      <c r="J73">
        <f t="shared" ref="J73:J136" si="14">C73-I73</f>
        <v>-8.4928443696210536</v>
      </c>
      <c r="K73">
        <f t="shared" ref="K73:K136" si="15">POWER(J73,2)</f>
        <v>72.128405486604038</v>
      </c>
      <c r="L73">
        <f t="shared" ref="L73:L136" si="16">ABS(C73-I73)</f>
        <v>8.4928443696210536</v>
      </c>
      <c r="M73">
        <f t="shared" ref="M73:M136" si="17">L73/C73</f>
        <v>6.3576228983057453E-2</v>
      </c>
    </row>
    <row r="74" spans="2:13" ht="12.75" x14ac:dyDescent="0.2">
      <c r="B74" s="2">
        <v>39661</v>
      </c>
      <c r="C74" s="1">
        <v>113.800476190476</v>
      </c>
      <c r="E74">
        <f t="shared" si="11"/>
        <v>121.09825800562061</v>
      </c>
      <c r="F74">
        <f t="shared" si="12"/>
        <v>120.34593812418547</v>
      </c>
      <c r="G74">
        <f t="shared" si="9"/>
        <v>121.85057788705575</v>
      </c>
      <c r="H74">
        <f t="shared" si="13"/>
        <v>0.65769279861816976</v>
      </c>
      <c r="I74">
        <f t="shared" si="10"/>
        <v>122.50827068567392</v>
      </c>
      <c r="J74">
        <f t="shared" si="14"/>
        <v>-8.7077944951979163</v>
      </c>
      <c r="K74">
        <f t="shared" si="15"/>
        <v>75.825684970599127</v>
      </c>
      <c r="L74">
        <f t="shared" si="16"/>
        <v>8.7077944951979163</v>
      </c>
      <c r="M74">
        <f t="shared" si="17"/>
        <v>7.6518084868318625E-2</v>
      </c>
    </row>
    <row r="75" spans="2:13" ht="12.75" x14ac:dyDescent="0.2">
      <c r="B75" s="2">
        <v>39692</v>
      </c>
      <c r="C75" s="1">
        <v>98.755454545454498</v>
      </c>
      <c r="E75">
        <f t="shared" si="11"/>
        <v>110.67657801325572</v>
      </c>
      <c r="F75">
        <f t="shared" si="12"/>
        <v>115.83571732818253</v>
      </c>
      <c r="G75">
        <f t="shared" si="9"/>
        <v>105.51743869832892</v>
      </c>
      <c r="H75">
        <f t="shared" si="13"/>
        <v>-4.5102207960029324</v>
      </c>
      <c r="I75">
        <f t="shared" si="10"/>
        <v>101.00721790232599</v>
      </c>
      <c r="J75">
        <f t="shared" si="14"/>
        <v>-2.2517633568714928</v>
      </c>
      <c r="K75">
        <f t="shared" si="15"/>
        <v>5.0704382153491734</v>
      </c>
      <c r="L75">
        <f t="shared" si="16"/>
        <v>2.2517633568714928</v>
      </c>
      <c r="M75">
        <f t="shared" si="17"/>
        <v>2.2801407448689998E-2</v>
      </c>
    </row>
    <row r="76" spans="2:13" ht="12.75" x14ac:dyDescent="0.2">
      <c r="B76" s="2">
        <v>39722</v>
      </c>
      <c r="C76" s="1">
        <v>71.963478260869493</v>
      </c>
      <c r="E76">
        <f t="shared" si="11"/>
        <v>92.619061737325069</v>
      </c>
      <c r="F76">
        <f t="shared" si="12"/>
        <v>105.00643372945071</v>
      </c>
      <c r="G76">
        <f t="shared" si="9"/>
        <v>80.231689745199432</v>
      </c>
      <c r="H76">
        <f t="shared" si="13"/>
        <v>-10.829283598731813</v>
      </c>
      <c r="I76">
        <f t="shared" si="10"/>
        <v>69.402406146467627</v>
      </c>
      <c r="J76">
        <f t="shared" si="14"/>
        <v>2.5610721144018669</v>
      </c>
      <c r="K76">
        <f t="shared" si="15"/>
        <v>6.559090375166849</v>
      </c>
      <c r="L76">
        <f t="shared" si="16"/>
        <v>2.5610721144018669</v>
      </c>
      <c r="M76">
        <f t="shared" si="17"/>
        <v>3.5588498170112254E-2</v>
      </c>
    </row>
    <row r="77" spans="2:13" ht="12.75" x14ac:dyDescent="0.2">
      <c r="B77" s="2">
        <v>39753</v>
      </c>
      <c r="C77" s="1">
        <v>52.713500000000003</v>
      </c>
      <c r="E77">
        <f t="shared" si="11"/>
        <v>74.005328009441754</v>
      </c>
      <c r="F77">
        <f t="shared" si="12"/>
        <v>90.546135414630214</v>
      </c>
      <c r="G77">
        <f t="shared" si="9"/>
        <v>57.464520604253295</v>
      </c>
      <c r="H77">
        <f t="shared" si="13"/>
        <v>-14.460298314820507</v>
      </c>
      <c r="I77">
        <f t="shared" si="10"/>
        <v>43.004222289432789</v>
      </c>
      <c r="J77">
        <f t="shared" si="14"/>
        <v>9.7092777105672141</v>
      </c>
      <c r="K77">
        <f t="shared" si="15"/>
        <v>94.270073660917319</v>
      </c>
      <c r="L77">
        <f t="shared" si="16"/>
        <v>9.7092777105672141</v>
      </c>
      <c r="M77">
        <f t="shared" si="17"/>
        <v>0.18418958541108471</v>
      </c>
    </row>
    <row r="78" spans="2:13" ht="12.75" x14ac:dyDescent="0.2">
      <c r="B78" s="2">
        <v>39783</v>
      </c>
      <c r="C78" s="1">
        <v>40.511739130434698</v>
      </c>
      <c r="E78">
        <f t="shared" si="11"/>
        <v>58.382424387917105</v>
      </c>
      <c r="F78">
        <f t="shared" si="12"/>
        <v>75.543546134152805</v>
      </c>
      <c r="G78">
        <f t="shared" si="9"/>
        <v>41.221302641681405</v>
      </c>
      <c r="H78">
        <f t="shared" si="13"/>
        <v>-15.002589280477405</v>
      </c>
      <c r="I78">
        <f t="shared" si="10"/>
        <v>26.218713361203999</v>
      </c>
      <c r="J78">
        <f t="shared" si="14"/>
        <v>14.293025769230699</v>
      </c>
      <c r="K78">
        <f t="shared" si="15"/>
        <v>204.29058563989281</v>
      </c>
      <c r="L78">
        <f t="shared" si="16"/>
        <v>14.293025769230699</v>
      </c>
      <c r="M78">
        <f t="shared" si="17"/>
        <v>0.35281195219024736</v>
      </c>
    </row>
    <row r="79" spans="2:13" ht="12.75" x14ac:dyDescent="0.2">
      <c r="B79" s="2">
        <v>39814</v>
      </c>
      <c r="C79" s="1">
        <v>43.174545454545402</v>
      </c>
      <c r="E79">
        <f t="shared" si="11"/>
        <v>51.288791402746099</v>
      </c>
      <c r="F79">
        <f t="shared" si="12"/>
        <v>64.230046798463832</v>
      </c>
      <c r="G79">
        <f t="shared" si="9"/>
        <v>38.347536007028367</v>
      </c>
      <c r="H79">
        <f t="shared" si="13"/>
        <v>-11.313499335688975</v>
      </c>
      <c r="I79">
        <f t="shared" si="10"/>
        <v>27.034036671339393</v>
      </c>
      <c r="J79">
        <f t="shared" si="14"/>
        <v>16.140508783206009</v>
      </c>
      <c r="K79">
        <f t="shared" si="15"/>
        <v>260.51602378075034</v>
      </c>
      <c r="L79">
        <f t="shared" si="16"/>
        <v>16.140508783206009</v>
      </c>
      <c r="M79">
        <f t="shared" si="17"/>
        <v>0.37384316646017501</v>
      </c>
    </row>
    <row r="80" spans="2:13" ht="12.75" x14ac:dyDescent="0.2">
      <c r="B80" s="2">
        <v>39845</v>
      </c>
      <c r="C80" s="1">
        <v>42.910499999999999</v>
      </c>
      <c r="E80">
        <f t="shared" si="11"/>
        <v>47.380782632142498</v>
      </c>
      <c r="F80">
        <f t="shared" si="12"/>
        <v>56.370798537103703</v>
      </c>
      <c r="G80">
        <f t="shared" si="9"/>
        <v>38.390766727181294</v>
      </c>
      <c r="H80">
        <f t="shared" si="13"/>
        <v>-7.8592482613601238</v>
      </c>
      <c r="I80">
        <f t="shared" si="10"/>
        <v>30.531518465821172</v>
      </c>
      <c r="J80">
        <f t="shared" si="14"/>
        <v>12.378981534178827</v>
      </c>
      <c r="K80">
        <f t="shared" si="15"/>
        <v>153.23918382354037</v>
      </c>
      <c r="L80">
        <f t="shared" si="16"/>
        <v>12.378981534178827</v>
      </c>
      <c r="M80">
        <f t="shared" si="17"/>
        <v>0.28848374020761414</v>
      </c>
    </row>
    <row r="81" spans="2:13" ht="12.75" x14ac:dyDescent="0.2">
      <c r="B81" s="2">
        <v>39873</v>
      </c>
      <c r="C81" s="1">
        <v>46.582727272727197</v>
      </c>
      <c r="E81">
        <f t="shared" si="11"/>
        <v>47.008534020331268</v>
      </c>
      <c r="F81">
        <f t="shared" si="12"/>
        <v>52.003820822260145</v>
      </c>
      <c r="G81">
        <f t="shared" si="9"/>
        <v>42.013247218402391</v>
      </c>
      <c r="H81">
        <f t="shared" si="13"/>
        <v>-4.3669777148435562</v>
      </c>
      <c r="I81">
        <f t="shared" si="10"/>
        <v>37.646269503558834</v>
      </c>
      <c r="J81">
        <f t="shared" si="14"/>
        <v>8.9364577691683635</v>
      </c>
      <c r="K81">
        <f t="shared" si="15"/>
        <v>79.860277460129609</v>
      </c>
      <c r="L81">
        <f t="shared" si="16"/>
        <v>8.9364577691683635</v>
      </c>
      <c r="M81">
        <f t="shared" si="17"/>
        <v>0.19184058753898667</v>
      </c>
    </row>
    <row r="82" spans="2:13" ht="12.75" x14ac:dyDescent="0.2">
      <c r="B82" s="2">
        <v>39904</v>
      </c>
      <c r="C82" s="1">
        <v>50.519090909090899</v>
      </c>
      <c r="E82">
        <f t="shared" si="11"/>
        <v>48.64601431929519</v>
      </c>
      <c r="F82">
        <f t="shared" si="12"/>
        <v>50.437590115689609</v>
      </c>
      <c r="G82">
        <f t="shared" si="9"/>
        <v>46.854438522900772</v>
      </c>
      <c r="H82">
        <f t="shared" si="13"/>
        <v>-1.5662307065705328</v>
      </c>
      <c r="I82">
        <f t="shared" si="10"/>
        <v>45.288207816330242</v>
      </c>
      <c r="J82">
        <f t="shared" si="14"/>
        <v>5.2308830927606564</v>
      </c>
      <c r="K82">
        <f t="shared" si="15"/>
        <v>27.36213793012929</v>
      </c>
      <c r="L82">
        <f t="shared" si="16"/>
        <v>5.2308830927606564</v>
      </c>
      <c r="M82">
        <f t="shared" si="17"/>
        <v>0.10354270036595928</v>
      </c>
    </row>
    <row r="83" spans="2:13" ht="12.75" x14ac:dyDescent="0.2">
      <c r="B83" s="2">
        <v>39934</v>
      </c>
      <c r="C83" s="1">
        <v>57.501428571428498</v>
      </c>
      <c r="E83">
        <f t="shared" si="11"/>
        <v>52.776574465880948</v>
      </c>
      <c r="F83">
        <f t="shared" si="12"/>
        <v>51.528596732128889</v>
      </c>
      <c r="G83">
        <f t="shared" si="9"/>
        <v>54.024552199633007</v>
      </c>
      <c r="H83">
        <f t="shared" si="13"/>
        <v>1.0910066164392778</v>
      </c>
      <c r="I83">
        <f t="shared" si="10"/>
        <v>55.115558816072287</v>
      </c>
      <c r="J83">
        <f t="shared" si="14"/>
        <v>2.3858697553562109</v>
      </c>
      <c r="K83">
        <f t="shared" si="15"/>
        <v>5.6923744895235062</v>
      </c>
      <c r="L83">
        <f t="shared" si="16"/>
        <v>2.3858697553562109</v>
      </c>
      <c r="M83">
        <f t="shared" si="17"/>
        <v>4.1492356183681148E-2</v>
      </c>
    </row>
    <row r="84" spans="2:13" ht="12.75" x14ac:dyDescent="0.2">
      <c r="B84" s="2">
        <v>39965</v>
      </c>
      <c r="C84" s="1">
        <v>68.58</v>
      </c>
      <c r="E84">
        <f t="shared" si="11"/>
        <v>60.147996946206177</v>
      </c>
      <c r="F84">
        <f t="shared" si="12"/>
        <v>55.54906940546131</v>
      </c>
      <c r="G84">
        <f t="shared" si="9"/>
        <v>64.746924486951045</v>
      </c>
      <c r="H84">
        <f t="shared" si="13"/>
        <v>4.0204726733324136</v>
      </c>
      <c r="I84">
        <f t="shared" si="10"/>
        <v>68.767397160283451</v>
      </c>
      <c r="J84">
        <f t="shared" si="14"/>
        <v>-0.18739716028345299</v>
      </c>
      <c r="K84">
        <f t="shared" si="15"/>
        <v>3.511769568230217E-2</v>
      </c>
      <c r="L84">
        <f t="shared" si="16"/>
        <v>0.18739716028345299</v>
      </c>
      <c r="M84">
        <f t="shared" si="17"/>
        <v>2.7325336874227616E-3</v>
      </c>
    </row>
    <row r="85" spans="2:13" ht="12.75" x14ac:dyDescent="0.2">
      <c r="B85" s="2">
        <v>39995</v>
      </c>
      <c r="C85" s="1">
        <v>64.904347826086905</v>
      </c>
      <c r="E85">
        <f t="shared" si="11"/>
        <v>62.366571123340862</v>
      </c>
      <c r="F85">
        <f t="shared" si="12"/>
        <v>58.729056257953204</v>
      </c>
      <c r="G85">
        <f t="shared" si="9"/>
        <v>66.004085988728519</v>
      </c>
      <c r="H85">
        <f t="shared" si="13"/>
        <v>3.1799868524918837</v>
      </c>
      <c r="I85">
        <f t="shared" si="10"/>
        <v>69.184072841220399</v>
      </c>
      <c r="J85">
        <f t="shared" si="14"/>
        <v>-4.2797250151334936</v>
      </c>
      <c r="K85">
        <f t="shared" si="15"/>
        <v>18.316046205159381</v>
      </c>
      <c r="L85">
        <f t="shared" si="16"/>
        <v>4.2797250151334936</v>
      </c>
      <c r="M85">
        <f t="shared" si="17"/>
        <v>6.5938957226735276E-2</v>
      </c>
    </row>
    <row r="86" spans="2:13" ht="12.75" x14ac:dyDescent="0.2">
      <c r="B86" s="2">
        <v>40026</v>
      </c>
      <c r="C86" s="1">
        <v>72.591904761904701</v>
      </c>
      <c r="E86">
        <f t="shared" si="11"/>
        <v>67.13612276829295</v>
      </c>
      <c r="F86">
        <f t="shared" si="12"/>
        <v>62.650487022069015</v>
      </c>
      <c r="G86">
        <f t="shared" si="9"/>
        <v>71.621758514516884</v>
      </c>
      <c r="H86">
        <f t="shared" si="13"/>
        <v>3.9214307641158075</v>
      </c>
      <c r="I86">
        <f t="shared" si="10"/>
        <v>75.543189278632696</v>
      </c>
      <c r="J86">
        <f t="shared" si="14"/>
        <v>-2.9512845167279949</v>
      </c>
      <c r="K86">
        <f t="shared" si="15"/>
        <v>8.7100802986783936</v>
      </c>
      <c r="L86">
        <f t="shared" si="16"/>
        <v>2.9512845167279949</v>
      </c>
      <c r="M86">
        <f t="shared" si="17"/>
        <v>4.0655835198262921E-2</v>
      </c>
    </row>
    <row r="87" spans="2:13" ht="12.75" x14ac:dyDescent="0.2">
      <c r="B87" s="2">
        <v>40057</v>
      </c>
      <c r="C87" s="1">
        <v>67.513181818181806</v>
      </c>
      <c r="E87">
        <f t="shared" si="11"/>
        <v>67.311999925480166</v>
      </c>
      <c r="F87">
        <f t="shared" si="12"/>
        <v>64.824824537333967</v>
      </c>
      <c r="G87">
        <f t="shared" si="9"/>
        <v>69.799175313626364</v>
      </c>
      <c r="H87">
        <f t="shared" si="13"/>
        <v>2.1743375152649471</v>
      </c>
      <c r="I87">
        <f t="shared" si="10"/>
        <v>71.973512828891316</v>
      </c>
      <c r="J87">
        <f t="shared" si="14"/>
        <v>-4.4603310107095098</v>
      </c>
      <c r="K87">
        <f t="shared" si="15"/>
        <v>19.894552725096919</v>
      </c>
      <c r="L87">
        <f t="shared" si="16"/>
        <v>4.4603310107095098</v>
      </c>
      <c r="M87">
        <f t="shared" si="17"/>
        <v>6.6066076143789579E-2</v>
      </c>
    </row>
    <row r="88" spans="2:13" ht="12.75" x14ac:dyDescent="0.2">
      <c r="B88" s="2">
        <v>40087</v>
      </c>
      <c r="C88" s="1">
        <v>72.968636363636307</v>
      </c>
      <c r="E88">
        <f t="shared" si="11"/>
        <v>69.950507438501802</v>
      </c>
      <c r="F88">
        <f t="shared" si="12"/>
        <v>67.215671640901093</v>
      </c>
      <c r="G88">
        <f t="shared" si="9"/>
        <v>72.685343236102511</v>
      </c>
      <c r="H88">
        <f t="shared" si="13"/>
        <v>2.3908471035671162</v>
      </c>
      <c r="I88">
        <f t="shared" si="10"/>
        <v>75.076190339669623</v>
      </c>
      <c r="J88">
        <f t="shared" si="14"/>
        <v>-2.1075539760333157</v>
      </c>
      <c r="K88">
        <f t="shared" si="15"/>
        <v>4.4417837618938378</v>
      </c>
      <c r="L88">
        <f t="shared" si="16"/>
        <v>2.1075539760333157</v>
      </c>
      <c r="M88">
        <f t="shared" si="17"/>
        <v>2.8883011675460181E-2</v>
      </c>
    </row>
    <row r="89" spans="2:13" ht="12.75" x14ac:dyDescent="0.2">
      <c r="B89" s="2">
        <v>40118</v>
      </c>
      <c r="C89" s="1">
        <v>76.936666666666596</v>
      </c>
      <c r="E89">
        <f t="shared" si="11"/>
        <v>73.209163675685517</v>
      </c>
      <c r="F89">
        <f t="shared" si="12"/>
        <v>70.011303627490065</v>
      </c>
      <c r="G89">
        <f t="shared" si="9"/>
        <v>76.407023723880968</v>
      </c>
      <c r="H89">
        <f t="shared" si="13"/>
        <v>2.7956319865889672</v>
      </c>
      <c r="I89">
        <f t="shared" si="10"/>
        <v>79.202655710469941</v>
      </c>
      <c r="J89">
        <f t="shared" si="14"/>
        <v>-2.2659890438033443</v>
      </c>
      <c r="K89">
        <f t="shared" si="15"/>
        <v>5.1347063466367944</v>
      </c>
      <c r="L89">
        <f t="shared" si="16"/>
        <v>2.2659890438033443</v>
      </c>
      <c r="M89">
        <f t="shared" si="17"/>
        <v>2.9452654267189633E-2</v>
      </c>
    </row>
    <row r="90" spans="2:13" ht="12.75" x14ac:dyDescent="0.2">
      <c r="B90" s="2">
        <v>40148</v>
      </c>
      <c r="C90" s="1">
        <v>74.789565217391299</v>
      </c>
      <c r="E90">
        <f t="shared" si="11"/>
        <v>73.946333438489106</v>
      </c>
      <c r="F90">
        <f t="shared" si="12"/>
        <v>71.846777028299499</v>
      </c>
      <c r="G90">
        <f t="shared" si="9"/>
        <v>76.045889848678712</v>
      </c>
      <c r="H90">
        <f t="shared" si="13"/>
        <v>1.8354734008094478</v>
      </c>
      <c r="I90">
        <f t="shared" si="10"/>
        <v>77.88136324948816</v>
      </c>
      <c r="J90">
        <f t="shared" si="14"/>
        <v>-3.091798032096861</v>
      </c>
      <c r="K90">
        <f t="shared" si="15"/>
        <v>9.5592150712780217</v>
      </c>
      <c r="L90">
        <f t="shared" si="16"/>
        <v>3.091798032096861</v>
      </c>
      <c r="M90">
        <f t="shared" si="17"/>
        <v>4.133996531614955E-2</v>
      </c>
    </row>
    <row r="91" spans="2:13" ht="12.75" x14ac:dyDescent="0.2">
      <c r="B91" s="2">
        <v>40179</v>
      </c>
      <c r="C91" s="1">
        <v>76.602380952380898</v>
      </c>
      <c r="E91">
        <f t="shared" si="11"/>
        <v>75.185232455062675</v>
      </c>
      <c r="F91">
        <f t="shared" si="12"/>
        <v>73.403981529897933</v>
      </c>
      <c r="G91">
        <f t="shared" si="9"/>
        <v>76.966483380227416</v>
      </c>
      <c r="H91">
        <f t="shared" si="13"/>
        <v>1.5572045015984337</v>
      </c>
      <c r="I91">
        <f t="shared" si="10"/>
        <v>78.52368788182585</v>
      </c>
      <c r="J91">
        <f t="shared" si="14"/>
        <v>-1.9213069294449525</v>
      </c>
      <c r="K91">
        <f t="shared" si="15"/>
        <v>3.6914203171331916</v>
      </c>
      <c r="L91">
        <f t="shared" si="16"/>
        <v>1.9213069294449525</v>
      </c>
      <c r="M91">
        <f t="shared" si="17"/>
        <v>2.5081556285297631E-2</v>
      </c>
    </row>
    <row r="92" spans="2:13" ht="12.75" x14ac:dyDescent="0.2">
      <c r="B92" s="2">
        <v>40210</v>
      </c>
      <c r="C92" s="1">
        <v>73.903000000000006</v>
      </c>
      <c r="E92">
        <f t="shared" si="11"/>
        <v>74.587142052203802</v>
      </c>
      <c r="F92">
        <f t="shared" si="12"/>
        <v>73.955860364846046</v>
      </c>
      <c r="G92">
        <f t="shared" si="9"/>
        <v>75.218423739561558</v>
      </c>
      <c r="H92">
        <f t="shared" si="13"/>
        <v>0.55187883494810563</v>
      </c>
      <c r="I92">
        <f t="shared" si="10"/>
        <v>75.770302574509657</v>
      </c>
      <c r="J92">
        <f t="shared" si="14"/>
        <v>-1.867302574509651</v>
      </c>
      <c r="K92">
        <f t="shared" si="15"/>
        <v>3.4868189047703706</v>
      </c>
      <c r="L92">
        <f t="shared" si="16"/>
        <v>1.867302574509651</v>
      </c>
      <c r="M92">
        <f t="shared" si="17"/>
        <v>2.526693875092555E-2</v>
      </c>
    </row>
    <row r="93" spans="2:13" ht="12.75" x14ac:dyDescent="0.2">
      <c r="B93" s="2">
        <v>40238</v>
      </c>
      <c r="C93" s="1">
        <v>79.519130434782596</v>
      </c>
      <c r="E93">
        <f t="shared" si="11"/>
        <v>76.887641393789806</v>
      </c>
      <c r="F93">
        <f t="shared" si="12"/>
        <v>75.323373790178351</v>
      </c>
      <c r="G93">
        <f t="shared" si="9"/>
        <v>78.451908997401262</v>
      </c>
      <c r="H93">
        <f t="shared" si="13"/>
        <v>1.3675134253322936</v>
      </c>
      <c r="I93">
        <f t="shared" si="10"/>
        <v>79.819422422733552</v>
      </c>
      <c r="J93">
        <f t="shared" si="14"/>
        <v>-0.30029198795095624</v>
      </c>
      <c r="K93">
        <f t="shared" si="15"/>
        <v>9.0175278027537248E-2</v>
      </c>
      <c r="L93">
        <f t="shared" si="16"/>
        <v>0.30029198795095624</v>
      </c>
      <c r="M93">
        <f t="shared" si="17"/>
        <v>3.7763489906022037E-3</v>
      </c>
    </row>
    <row r="94" spans="2:13" ht="12.75" x14ac:dyDescent="0.2">
      <c r="B94" s="2">
        <v>40269</v>
      </c>
      <c r="C94" s="1">
        <v>85.156363636363594</v>
      </c>
      <c r="E94">
        <f t="shared" si="11"/>
        <v>80.744542221454026</v>
      </c>
      <c r="F94">
        <f t="shared" si="12"/>
        <v>77.852048523239176</v>
      </c>
      <c r="G94">
        <f t="shared" si="9"/>
        <v>83.637035919668875</v>
      </c>
      <c r="H94">
        <f t="shared" si="13"/>
        <v>2.5286747330608055</v>
      </c>
      <c r="I94">
        <f t="shared" si="10"/>
        <v>86.165710652729686</v>
      </c>
      <c r="J94">
        <f t="shared" si="14"/>
        <v>-1.0093470163660925</v>
      </c>
      <c r="K94">
        <f t="shared" si="15"/>
        <v>1.0187813994471329</v>
      </c>
      <c r="L94">
        <f t="shared" si="16"/>
        <v>1.0093470163660925</v>
      </c>
      <c r="M94">
        <f t="shared" si="17"/>
        <v>1.1852866577020905E-2</v>
      </c>
    </row>
    <row r="95" spans="2:13" ht="12.75" x14ac:dyDescent="0.2">
      <c r="B95" s="2">
        <v>40299</v>
      </c>
      <c r="C95" s="1">
        <v>76.132380952380899</v>
      </c>
      <c r="E95">
        <f t="shared" si="11"/>
        <v>78.593224509459873</v>
      </c>
      <c r="F95">
        <f t="shared" si="12"/>
        <v>78.197766058650018</v>
      </c>
      <c r="G95">
        <f t="shared" si="9"/>
        <v>78.988682960269728</v>
      </c>
      <c r="H95">
        <f t="shared" si="13"/>
        <v>0.34571753541084888</v>
      </c>
      <c r="I95">
        <f t="shared" si="10"/>
        <v>79.334400495680583</v>
      </c>
      <c r="J95">
        <f t="shared" si="14"/>
        <v>-3.2020195432996843</v>
      </c>
      <c r="K95">
        <f t="shared" si="15"/>
        <v>10.252929155673119</v>
      </c>
      <c r="L95">
        <f t="shared" si="16"/>
        <v>3.2020195432996843</v>
      </c>
      <c r="M95">
        <f t="shared" si="17"/>
        <v>4.2058576170138119E-2</v>
      </c>
    </row>
    <row r="96" spans="2:13" ht="12.75" x14ac:dyDescent="0.2">
      <c r="B96" s="2">
        <v>40330</v>
      </c>
      <c r="C96" s="1">
        <v>75.246363636363597</v>
      </c>
      <c r="E96">
        <f t="shared" si="11"/>
        <v>77.032099332820252</v>
      </c>
      <c r="F96">
        <f t="shared" si="12"/>
        <v>77.654047110577807</v>
      </c>
      <c r="G96">
        <f t="shared" si="9"/>
        <v>76.410151555062697</v>
      </c>
      <c r="H96">
        <f t="shared" si="13"/>
        <v>-0.54371894807220023</v>
      </c>
      <c r="I96">
        <f t="shared" si="10"/>
        <v>75.8664326069905</v>
      </c>
      <c r="J96">
        <f t="shared" si="14"/>
        <v>-0.62006897062690314</v>
      </c>
      <c r="K96">
        <f t="shared" si="15"/>
        <v>0.38448552833430727</v>
      </c>
      <c r="L96">
        <f t="shared" si="16"/>
        <v>0.62006897062690314</v>
      </c>
      <c r="M96">
        <f t="shared" si="17"/>
        <v>8.2405174238512745E-3</v>
      </c>
    </row>
    <row r="97" spans="2:13" ht="12.75" x14ac:dyDescent="0.2">
      <c r="B97" s="2">
        <v>40360</v>
      </c>
      <c r="C97" s="1">
        <v>75.194999999999894</v>
      </c>
      <c r="E97">
        <f t="shared" si="11"/>
        <v>76.175194271869657</v>
      </c>
      <c r="F97">
        <f t="shared" si="12"/>
        <v>76.964244191785895</v>
      </c>
      <c r="G97">
        <f t="shared" si="9"/>
        <v>75.386144351953419</v>
      </c>
      <c r="H97">
        <f t="shared" si="13"/>
        <v>-0.68980291879192157</v>
      </c>
      <c r="I97">
        <f t="shared" si="10"/>
        <v>74.696341433161493</v>
      </c>
      <c r="J97">
        <f t="shared" si="14"/>
        <v>0.49865856683840093</v>
      </c>
      <c r="K97">
        <f t="shared" si="15"/>
        <v>0.24866036628132795</v>
      </c>
      <c r="L97">
        <f t="shared" si="16"/>
        <v>0.49865856683840093</v>
      </c>
      <c r="M97">
        <f t="shared" si="17"/>
        <v>6.6315388900645205E-3</v>
      </c>
    </row>
    <row r="98" spans="2:13" ht="12.75" x14ac:dyDescent="0.2">
      <c r="B98" s="2">
        <v>40391</v>
      </c>
      <c r="C98" s="1">
        <v>76.891818181818095</v>
      </c>
      <c r="E98">
        <f t="shared" si="11"/>
        <v>76.509459623918019</v>
      </c>
      <c r="F98">
        <f t="shared" si="12"/>
        <v>76.752112386561222</v>
      </c>
      <c r="G98">
        <f t="shared" si="9"/>
        <v>76.266806861274816</v>
      </c>
      <c r="H98">
        <f t="shared" si="13"/>
        <v>-0.2121318052246601</v>
      </c>
      <c r="I98">
        <f t="shared" si="10"/>
        <v>76.054675056050158</v>
      </c>
      <c r="J98">
        <f t="shared" si="14"/>
        <v>0.83714312576793759</v>
      </c>
      <c r="K98">
        <f t="shared" si="15"/>
        <v>0.700808613020513</v>
      </c>
      <c r="L98">
        <f t="shared" si="16"/>
        <v>0.83714312576793759</v>
      </c>
      <c r="M98">
        <f t="shared" si="17"/>
        <v>1.0887284831637511E-2</v>
      </c>
    </row>
    <row r="99" spans="2:13" ht="12.75" x14ac:dyDescent="0.2">
      <c r="B99" s="2">
        <v>40422</v>
      </c>
      <c r="C99" s="1">
        <v>77.938181818181803</v>
      </c>
      <c r="E99">
        <f t="shared" si="11"/>
        <v>77.17587937438276</v>
      </c>
      <c r="F99">
        <f t="shared" si="12"/>
        <v>76.949776209110524</v>
      </c>
      <c r="G99">
        <f t="shared" si="9"/>
        <v>77.401982539654995</v>
      </c>
      <c r="H99">
        <f t="shared" si="13"/>
        <v>0.19766382254932213</v>
      </c>
      <c r="I99">
        <f t="shared" si="10"/>
        <v>77.599646362204311</v>
      </c>
      <c r="J99">
        <f t="shared" si="14"/>
        <v>0.33853545597749246</v>
      </c>
      <c r="K99">
        <f t="shared" si="15"/>
        <v>0.11460625495388874</v>
      </c>
      <c r="L99">
        <f t="shared" si="16"/>
        <v>0.33853545597749246</v>
      </c>
      <c r="M99">
        <f t="shared" si="17"/>
        <v>4.3436406659735196E-3</v>
      </c>
    </row>
    <row r="100" spans="2:13" ht="12.75" x14ac:dyDescent="0.2">
      <c r="B100" s="2">
        <v>40452</v>
      </c>
      <c r="C100" s="1">
        <v>83.338571428571399</v>
      </c>
      <c r="E100">
        <f t="shared" si="11"/>
        <v>80.050433796111818</v>
      </c>
      <c r="F100">
        <f t="shared" si="12"/>
        <v>78.396061192784884</v>
      </c>
      <c r="G100">
        <f t="shared" si="9"/>
        <v>81.704806399438752</v>
      </c>
      <c r="H100">
        <f t="shared" si="13"/>
        <v>1.446284983674357</v>
      </c>
      <c r="I100">
        <f t="shared" si="10"/>
        <v>83.151091383113112</v>
      </c>
      <c r="J100">
        <f t="shared" si="14"/>
        <v>0.18748004545828678</v>
      </c>
      <c r="K100">
        <f t="shared" si="15"/>
        <v>3.5148767445041279E-2</v>
      </c>
      <c r="L100">
        <f t="shared" si="16"/>
        <v>0.18748004545828678</v>
      </c>
      <c r="M100">
        <f t="shared" si="17"/>
        <v>2.2496191408677307E-3</v>
      </c>
    </row>
    <row r="101" spans="2:13" ht="12.75" x14ac:dyDescent="0.2">
      <c r="B101" s="2">
        <v>40483</v>
      </c>
      <c r="C101" s="1">
        <v>85.800909090909002</v>
      </c>
      <c r="E101">
        <f t="shared" si="11"/>
        <v>82.732711936955781</v>
      </c>
      <c r="F101">
        <f t="shared" si="12"/>
        <v>80.418868508571208</v>
      </c>
      <c r="G101">
        <f t="shared" si="9"/>
        <v>85.046555365340353</v>
      </c>
      <c r="H101">
        <f t="shared" si="13"/>
        <v>2.0228073157863316</v>
      </c>
      <c r="I101">
        <f t="shared" si="10"/>
        <v>87.069362681126691</v>
      </c>
      <c r="J101">
        <f t="shared" si="14"/>
        <v>-1.268453590217689</v>
      </c>
      <c r="K101">
        <f t="shared" si="15"/>
        <v>1.6089745105361448</v>
      </c>
      <c r="L101">
        <f t="shared" si="16"/>
        <v>1.268453590217689</v>
      </c>
      <c r="M101">
        <f t="shared" si="17"/>
        <v>1.4783684737812264E-2</v>
      </c>
    </row>
    <row r="102" spans="2:13" ht="12.75" x14ac:dyDescent="0.2">
      <c r="B102" s="2">
        <v>40513</v>
      </c>
      <c r="C102" s="1">
        <v>91.959999999999894</v>
      </c>
      <c r="E102">
        <f t="shared" si="11"/>
        <v>87.036730614014814</v>
      </c>
      <c r="F102">
        <f t="shared" si="12"/>
        <v>83.50573454216871</v>
      </c>
      <c r="G102">
        <f t="shared" si="9"/>
        <v>90.567726685860919</v>
      </c>
      <c r="H102">
        <f t="shared" si="13"/>
        <v>3.0868660335974876</v>
      </c>
      <c r="I102">
        <f t="shared" si="10"/>
        <v>93.654592719458407</v>
      </c>
      <c r="J102">
        <f t="shared" si="14"/>
        <v>-1.6945927194585124</v>
      </c>
      <c r="K102">
        <f t="shared" si="15"/>
        <v>2.8716444848417968</v>
      </c>
      <c r="L102">
        <f t="shared" si="16"/>
        <v>1.6945927194585124</v>
      </c>
      <c r="M102">
        <f t="shared" si="17"/>
        <v>1.8427498036738956E-2</v>
      </c>
    </row>
    <row r="103" spans="2:13" ht="12.75" x14ac:dyDescent="0.2">
      <c r="B103" s="2">
        <v>40544</v>
      </c>
      <c r="C103" s="1">
        <v>96.952380952380906</v>
      </c>
      <c r="E103">
        <f t="shared" si="11"/>
        <v>91.661832156302097</v>
      </c>
      <c r="F103">
        <f t="shared" si="12"/>
        <v>87.310102220223598</v>
      </c>
      <c r="G103">
        <f t="shared" si="9"/>
        <v>96.013562092380596</v>
      </c>
      <c r="H103">
        <f t="shared" si="13"/>
        <v>3.8043676780548852</v>
      </c>
      <c r="I103">
        <f t="shared" si="10"/>
        <v>99.817929770435484</v>
      </c>
      <c r="J103">
        <f t="shared" si="14"/>
        <v>-2.8655488180545774</v>
      </c>
      <c r="K103">
        <f t="shared" si="15"/>
        <v>8.2113700286539864</v>
      </c>
      <c r="L103">
        <f t="shared" si="16"/>
        <v>2.8655488180545774</v>
      </c>
      <c r="M103">
        <f t="shared" si="17"/>
        <v>2.9556250087989271E-2</v>
      </c>
    </row>
    <row r="104" spans="2:13" ht="12.75" x14ac:dyDescent="0.2">
      <c r="B104" s="2">
        <v>40575</v>
      </c>
      <c r="C104" s="1">
        <v>104.2385</v>
      </c>
      <c r="E104">
        <f t="shared" si="11"/>
        <v>97.528150940825412</v>
      </c>
      <c r="F104">
        <f t="shared" si="12"/>
        <v>92.07625585454079</v>
      </c>
      <c r="G104">
        <f t="shared" si="9"/>
        <v>102.98004602711003</v>
      </c>
      <c r="H104">
        <f t="shared" si="13"/>
        <v>4.7661536343171944</v>
      </c>
      <c r="I104">
        <f t="shared" si="10"/>
        <v>107.74619966142723</v>
      </c>
      <c r="J104">
        <f t="shared" si="14"/>
        <v>-3.5076996614272247</v>
      </c>
      <c r="K104">
        <f t="shared" si="15"/>
        <v>12.303956914776666</v>
      </c>
      <c r="L104">
        <f t="shared" si="16"/>
        <v>3.5076996614272247</v>
      </c>
      <c r="M104">
        <f t="shared" si="17"/>
        <v>3.3650711219244567E-2</v>
      </c>
    </row>
    <row r="105" spans="2:13" ht="12.75" x14ac:dyDescent="0.2">
      <c r="B105" s="2">
        <v>40603</v>
      </c>
      <c r="C105" s="1">
        <v>114.91739130434701</v>
      </c>
      <c r="E105">
        <f t="shared" si="11"/>
        <v>105.63926818276124</v>
      </c>
      <c r="F105">
        <f t="shared" si="12"/>
        <v>98.402649696263381</v>
      </c>
      <c r="G105">
        <f t="shared" si="9"/>
        <v>112.8758866692591</v>
      </c>
      <c r="H105">
        <f t="shared" si="13"/>
        <v>6.3263938417226058</v>
      </c>
      <c r="I105">
        <f t="shared" si="10"/>
        <v>119.20228051098171</v>
      </c>
      <c r="J105">
        <f t="shared" si="14"/>
        <v>-4.284889206634702</v>
      </c>
      <c r="K105">
        <f t="shared" si="15"/>
        <v>18.360275513134564</v>
      </c>
      <c r="L105">
        <f t="shared" si="16"/>
        <v>4.284889206634702</v>
      </c>
      <c r="M105">
        <f t="shared" si="17"/>
        <v>3.728669053482609E-2</v>
      </c>
    </row>
    <row r="106" spans="2:13" ht="12.75" x14ac:dyDescent="0.2">
      <c r="B106" s="2">
        <v>40634</v>
      </c>
      <c r="C106" s="1">
        <v>123.325714285714</v>
      </c>
      <c r="E106">
        <f t="shared" si="11"/>
        <v>113.88901543653816</v>
      </c>
      <c r="F106">
        <f t="shared" si="12"/>
        <v>105.62618134830552</v>
      </c>
      <c r="G106">
        <f t="shared" si="9"/>
        <v>122.1518495247708</v>
      </c>
      <c r="H106">
        <f t="shared" si="13"/>
        <v>7.2235316520421398</v>
      </c>
      <c r="I106">
        <f t="shared" si="10"/>
        <v>129.37538117681294</v>
      </c>
      <c r="J106">
        <f t="shared" si="14"/>
        <v>-6.0496668910989371</v>
      </c>
      <c r="K106">
        <f t="shared" si="15"/>
        <v>36.598469493258676</v>
      </c>
      <c r="L106">
        <f t="shared" si="16"/>
        <v>6.0496668910989371</v>
      </c>
      <c r="M106">
        <f t="shared" si="17"/>
        <v>4.9054383557701621E-2</v>
      </c>
    </row>
    <row r="107" spans="2:13" ht="12.75" x14ac:dyDescent="0.2">
      <c r="B107" s="2">
        <v>40664</v>
      </c>
      <c r="C107" s="1">
        <v>114.92954545454501</v>
      </c>
      <c r="E107">
        <f t="shared" si="11"/>
        <v>114.37436504315536</v>
      </c>
      <c r="F107">
        <f t="shared" si="12"/>
        <v>109.70672438063775</v>
      </c>
      <c r="G107">
        <f t="shared" si="9"/>
        <v>119.04200570567298</v>
      </c>
      <c r="H107">
        <f t="shared" si="13"/>
        <v>4.0805430323322298</v>
      </c>
      <c r="I107">
        <f t="shared" si="10"/>
        <v>123.12254873800521</v>
      </c>
      <c r="J107">
        <f t="shared" si="14"/>
        <v>-8.1930032834602002</v>
      </c>
      <c r="K107">
        <f t="shared" si="15"/>
        <v>67.125302802789619</v>
      </c>
      <c r="L107">
        <f t="shared" si="16"/>
        <v>8.1930032834602002</v>
      </c>
      <c r="M107">
        <f t="shared" si="17"/>
        <v>7.1287180777205444E-2</v>
      </c>
    </row>
    <row r="108" spans="2:13" ht="12.75" x14ac:dyDescent="0.2">
      <c r="B108" s="2">
        <v>40695</v>
      </c>
      <c r="C108" s="1">
        <v>114.370454545454</v>
      </c>
      <c r="E108">
        <f t="shared" si="11"/>
        <v>114.37254101262458</v>
      </c>
      <c r="F108">
        <f t="shared" si="12"/>
        <v>111.88306934685082</v>
      </c>
      <c r="G108">
        <f t="shared" si="9"/>
        <v>116.86201267839834</v>
      </c>
      <c r="H108">
        <f t="shared" si="13"/>
        <v>2.1763449662130685</v>
      </c>
      <c r="I108">
        <f t="shared" si="10"/>
        <v>119.03835764461141</v>
      </c>
      <c r="J108">
        <f t="shared" si="14"/>
        <v>-4.6679030991574137</v>
      </c>
      <c r="K108">
        <f t="shared" si="15"/>
        <v>21.789319343123388</v>
      </c>
      <c r="L108">
        <f t="shared" si="16"/>
        <v>4.6679030991574137</v>
      </c>
      <c r="M108">
        <f t="shared" si="17"/>
        <v>4.0813889546117518E-2</v>
      </c>
    </row>
    <row r="109" spans="2:13" ht="12.75" x14ac:dyDescent="0.2">
      <c r="B109" s="2">
        <v>40725</v>
      </c>
      <c r="C109" s="1">
        <v>117.48333333333299</v>
      </c>
      <c r="E109">
        <f t="shared" si="11"/>
        <v>115.82355328809524</v>
      </c>
      <c r="F109">
        <f t="shared" si="12"/>
        <v>113.72108679725346</v>
      </c>
      <c r="G109">
        <f t="shared" si="9"/>
        <v>117.92601977893702</v>
      </c>
      <c r="H109">
        <f t="shared" si="13"/>
        <v>1.8380174504026607</v>
      </c>
      <c r="I109">
        <f t="shared" si="10"/>
        <v>119.76403722933968</v>
      </c>
      <c r="J109">
        <f t="shared" si="14"/>
        <v>-2.2807038960066848</v>
      </c>
      <c r="K109">
        <f t="shared" si="15"/>
        <v>5.201610261260071</v>
      </c>
      <c r="L109">
        <f t="shared" si="16"/>
        <v>2.2807038960066848</v>
      </c>
      <c r="M109">
        <f t="shared" si="17"/>
        <v>1.9412999540417291E-2</v>
      </c>
    </row>
    <row r="110" spans="2:13" ht="12.75" x14ac:dyDescent="0.2">
      <c r="B110" s="2">
        <v>40756</v>
      </c>
      <c r="C110" s="1">
        <v>110.354782608695</v>
      </c>
      <c r="E110">
        <f t="shared" si="11"/>
        <v>113.27267474351382</v>
      </c>
      <c r="F110">
        <f t="shared" si="12"/>
        <v>113.51192741682364</v>
      </c>
      <c r="G110">
        <f t="shared" si="9"/>
        <v>113.033422070204</v>
      </c>
      <c r="H110">
        <f t="shared" si="13"/>
        <v>-0.20915938042982643</v>
      </c>
      <c r="I110">
        <f t="shared" si="10"/>
        <v>112.82426268977417</v>
      </c>
      <c r="J110">
        <f t="shared" si="14"/>
        <v>-2.4694800810791691</v>
      </c>
      <c r="K110">
        <f t="shared" si="15"/>
        <v>6.0983318708467795</v>
      </c>
      <c r="L110">
        <f t="shared" si="16"/>
        <v>2.4694800810791691</v>
      </c>
      <c r="M110">
        <f t="shared" si="17"/>
        <v>2.2377644382080415E-2</v>
      </c>
    </row>
    <row r="111" spans="2:13" ht="12.75" x14ac:dyDescent="0.2">
      <c r="B111" s="2">
        <v>40787</v>
      </c>
      <c r="C111" s="1">
        <v>111.96272727272699</v>
      </c>
      <c r="E111">
        <f t="shared" si="11"/>
        <v>112.6616568212693</v>
      </c>
      <c r="F111">
        <f t="shared" si="12"/>
        <v>113.11532329014889</v>
      </c>
      <c r="G111">
        <f t="shared" si="9"/>
        <v>112.20799035238971</v>
      </c>
      <c r="H111">
        <f t="shared" si="13"/>
        <v>-0.39660412667475553</v>
      </c>
      <c r="I111">
        <f t="shared" si="10"/>
        <v>111.81138622571495</v>
      </c>
      <c r="J111">
        <f t="shared" si="14"/>
        <v>0.1513410470120391</v>
      </c>
      <c r="K111">
        <f t="shared" si="15"/>
        <v>2.2904112510700229E-2</v>
      </c>
      <c r="L111">
        <f t="shared" si="16"/>
        <v>0.1513410470120391</v>
      </c>
      <c r="M111">
        <f t="shared" si="17"/>
        <v>1.3517091866062847E-3</v>
      </c>
    </row>
    <row r="112" spans="2:13" ht="12.75" x14ac:dyDescent="0.2">
      <c r="B112" s="2">
        <v>40817</v>
      </c>
      <c r="C112" s="1">
        <v>110.429523809523</v>
      </c>
      <c r="E112">
        <f t="shared" si="11"/>
        <v>111.62049043450466</v>
      </c>
      <c r="F112">
        <f t="shared" si="12"/>
        <v>112.41806657877103</v>
      </c>
      <c r="G112">
        <f t="shared" si="9"/>
        <v>110.82291429023829</v>
      </c>
      <c r="H112">
        <f t="shared" si="13"/>
        <v>-0.69725671137784817</v>
      </c>
      <c r="I112">
        <f t="shared" si="10"/>
        <v>110.12565757886044</v>
      </c>
      <c r="J112">
        <f t="shared" si="14"/>
        <v>0.30386623066256391</v>
      </c>
      <c r="K112">
        <f t="shared" si="15"/>
        <v>9.233468613707449E-2</v>
      </c>
      <c r="L112">
        <f t="shared" si="16"/>
        <v>0.30386623066256391</v>
      </c>
      <c r="M112">
        <f t="shared" si="17"/>
        <v>2.7516756405351782E-3</v>
      </c>
    </row>
    <row r="113" spans="2:13" ht="12.75" x14ac:dyDescent="0.2">
      <c r="B113" s="2">
        <v>40848</v>
      </c>
      <c r="C113" s="1">
        <v>111.15863636363601</v>
      </c>
      <c r="E113">
        <f t="shared" si="11"/>
        <v>111.40506109779025</v>
      </c>
      <c r="F113">
        <f t="shared" si="12"/>
        <v>111.94555564377958</v>
      </c>
      <c r="G113">
        <f t="shared" si="9"/>
        <v>110.86456655180092</v>
      </c>
      <c r="H113">
        <f t="shared" si="13"/>
        <v>-0.47251093499145747</v>
      </c>
      <c r="I113">
        <f t="shared" si="10"/>
        <v>110.39205561680946</v>
      </c>
      <c r="J113">
        <f t="shared" si="14"/>
        <v>0.76658074682654842</v>
      </c>
      <c r="K113">
        <f t="shared" si="15"/>
        <v>0.58764604140514876</v>
      </c>
      <c r="L113">
        <f t="shared" si="16"/>
        <v>0.76658074682654842</v>
      </c>
      <c r="M113">
        <f t="shared" si="17"/>
        <v>6.8962769956876207E-3</v>
      </c>
    </row>
    <row r="114" spans="2:13" ht="12.75" x14ac:dyDescent="0.2">
      <c r="B114" s="2">
        <v>40878</v>
      </c>
      <c r="C114" s="1">
        <v>108.347727272727</v>
      </c>
      <c r="E114">
        <f t="shared" si="11"/>
        <v>109.97898424886446</v>
      </c>
      <c r="F114">
        <f t="shared" si="12"/>
        <v>111.02825903879071</v>
      </c>
      <c r="G114">
        <f t="shared" si="9"/>
        <v>108.92970945893822</v>
      </c>
      <c r="H114">
        <f t="shared" si="13"/>
        <v>-0.91729660498886845</v>
      </c>
      <c r="I114">
        <f t="shared" si="10"/>
        <v>108.01241285394936</v>
      </c>
      <c r="J114">
        <f t="shared" si="14"/>
        <v>0.33531441877764223</v>
      </c>
      <c r="K114">
        <f t="shared" si="15"/>
        <v>0.11243575944018804</v>
      </c>
      <c r="L114">
        <f t="shared" si="16"/>
        <v>0.33531441877764223</v>
      </c>
      <c r="M114">
        <f t="shared" si="17"/>
        <v>3.0947988224395979E-3</v>
      </c>
    </row>
    <row r="115" spans="2:13" ht="12.75" x14ac:dyDescent="0.2">
      <c r="B115" s="2">
        <v>40909</v>
      </c>
      <c r="C115" s="1">
        <v>111.41500000000001</v>
      </c>
      <c r="E115">
        <f t="shared" si="11"/>
        <v>110.64880603953688</v>
      </c>
      <c r="F115">
        <f t="shared" si="12"/>
        <v>110.85126523685278</v>
      </c>
      <c r="G115">
        <f t="shared" si="9"/>
        <v>110.44634684222098</v>
      </c>
      <c r="H115">
        <f t="shared" si="13"/>
        <v>-0.17699380193791173</v>
      </c>
      <c r="I115">
        <f t="shared" si="10"/>
        <v>110.26935304028306</v>
      </c>
      <c r="J115">
        <f t="shared" si="14"/>
        <v>1.1456469597169416</v>
      </c>
      <c r="K115">
        <f t="shared" si="15"/>
        <v>1.3125069563086718</v>
      </c>
      <c r="L115">
        <f t="shared" si="16"/>
        <v>1.1456469597169416</v>
      </c>
      <c r="M115">
        <f t="shared" si="17"/>
        <v>1.0282699454444568E-2</v>
      </c>
    </row>
    <row r="116" spans="2:13" ht="12.75" x14ac:dyDescent="0.2">
      <c r="B116" s="2">
        <v>40940</v>
      </c>
      <c r="C116" s="1">
        <v>119.165714285714</v>
      </c>
      <c r="E116">
        <f t="shared" si="11"/>
        <v>114.62147188803877</v>
      </c>
      <c r="F116">
        <f t="shared" si="12"/>
        <v>112.60985776503742</v>
      </c>
      <c r="G116">
        <f t="shared" si="9"/>
        <v>116.63308601104012</v>
      </c>
      <c r="H116">
        <f t="shared" si="13"/>
        <v>1.7585925281846388</v>
      </c>
      <c r="I116">
        <f t="shared" si="10"/>
        <v>118.39167853922476</v>
      </c>
      <c r="J116">
        <f t="shared" si="14"/>
        <v>0.77403574648924689</v>
      </c>
      <c r="K116">
        <f t="shared" si="15"/>
        <v>0.59913133684316566</v>
      </c>
      <c r="L116">
        <f t="shared" si="16"/>
        <v>0.77403574648924689</v>
      </c>
      <c r="M116">
        <f t="shared" si="17"/>
        <v>6.4954567773865216E-3</v>
      </c>
    </row>
    <row r="117" spans="2:13" ht="12.75" x14ac:dyDescent="0.2">
      <c r="B117" s="2">
        <v>40969</v>
      </c>
      <c r="C117" s="1">
        <v>124.70318181818099</v>
      </c>
      <c r="E117">
        <f t="shared" si="11"/>
        <v>119.32403102996162</v>
      </c>
      <c r="F117">
        <f t="shared" si="12"/>
        <v>115.74164761876294</v>
      </c>
      <c r="G117">
        <f t="shared" si="9"/>
        <v>122.90641444116029</v>
      </c>
      <c r="H117">
        <f t="shared" si="13"/>
        <v>3.1317898537255204</v>
      </c>
      <c r="I117">
        <f t="shared" si="10"/>
        <v>126.03820429488582</v>
      </c>
      <c r="J117">
        <f t="shared" si="14"/>
        <v>-1.3350224767048218</v>
      </c>
      <c r="K117">
        <f t="shared" si="15"/>
        <v>1.7822850133070764</v>
      </c>
      <c r="L117">
        <f t="shared" si="16"/>
        <v>1.3350224767048218</v>
      </c>
      <c r="M117">
        <f t="shared" si="17"/>
        <v>1.0705600749235921E-2</v>
      </c>
    </row>
    <row r="118" spans="2:13" ht="12.75" x14ac:dyDescent="0.2">
      <c r="B118" s="2">
        <v>41000</v>
      </c>
      <c r="C118" s="1">
        <v>120.47</v>
      </c>
      <c r="E118">
        <f t="shared" si="11"/>
        <v>119.8585620662397</v>
      </c>
      <c r="F118">
        <f t="shared" si="12"/>
        <v>117.66196012583217</v>
      </c>
      <c r="G118">
        <f t="shared" si="9"/>
        <v>122.05516400664723</v>
      </c>
      <c r="H118">
        <f t="shared" si="13"/>
        <v>1.9203125070692157</v>
      </c>
      <c r="I118">
        <f t="shared" si="10"/>
        <v>123.97547651371644</v>
      </c>
      <c r="J118">
        <f t="shared" si="14"/>
        <v>-3.5054765137164452</v>
      </c>
      <c r="K118">
        <f t="shared" si="15"/>
        <v>12.288365588217603</v>
      </c>
      <c r="L118">
        <f t="shared" si="16"/>
        <v>3.5054765137164452</v>
      </c>
      <c r="M118">
        <f t="shared" si="17"/>
        <v>2.9098335799090606E-2</v>
      </c>
    </row>
    <row r="119" spans="2:13" ht="12.75" x14ac:dyDescent="0.2">
      <c r="B119" s="2">
        <v>41030</v>
      </c>
      <c r="C119" s="1">
        <v>110.822173913043</v>
      </c>
      <c r="E119">
        <f t="shared" si="11"/>
        <v>115.64358762100896</v>
      </c>
      <c r="F119">
        <f t="shared" si="12"/>
        <v>116.72050117292335</v>
      </c>
      <c r="G119">
        <f t="shared" si="9"/>
        <v>114.56667406909457</v>
      </c>
      <c r="H119">
        <f t="shared" si="13"/>
        <v>-0.94145895290880788</v>
      </c>
      <c r="I119">
        <f t="shared" si="10"/>
        <v>113.62521511618577</v>
      </c>
      <c r="J119">
        <f t="shared" si="14"/>
        <v>-2.8030412031427687</v>
      </c>
      <c r="K119">
        <f t="shared" si="15"/>
        <v>7.8570399865160603</v>
      </c>
      <c r="L119">
        <f t="shared" si="16"/>
        <v>2.8030412031427687</v>
      </c>
      <c r="M119">
        <f t="shared" si="17"/>
        <v>2.5293143999703387E-2</v>
      </c>
    </row>
    <row r="120" spans="2:13" ht="12.75" x14ac:dyDescent="0.2">
      <c r="B120" s="2">
        <v>41061</v>
      </c>
      <c r="C120" s="1">
        <v>95.889047619047602</v>
      </c>
      <c r="E120">
        <f t="shared" si="11"/>
        <v>106.42918913856884</v>
      </c>
      <c r="F120">
        <f t="shared" si="12"/>
        <v>111.92017426162809</v>
      </c>
      <c r="G120">
        <f t="shared" si="9"/>
        <v>100.9382040155096</v>
      </c>
      <c r="H120">
        <f t="shared" si="13"/>
        <v>-4.8003269112952607</v>
      </c>
      <c r="I120">
        <f t="shared" si="10"/>
        <v>96.13787710421434</v>
      </c>
      <c r="J120">
        <f t="shared" si="14"/>
        <v>-0.24882948516673764</v>
      </c>
      <c r="K120">
        <f t="shared" si="15"/>
        <v>6.1916112688343711E-2</v>
      </c>
      <c r="L120">
        <f t="shared" si="16"/>
        <v>0.24882948516673764</v>
      </c>
      <c r="M120">
        <f t="shared" si="17"/>
        <v>2.5949729541094079E-3</v>
      </c>
    </row>
    <row r="121" spans="2:13" ht="12.75" x14ac:dyDescent="0.2">
      <c r="B121" s="2">
        <v>41091</v>
      </c>
      <c r="C121" s="1">
        <v>102.979545454545</v>
      </c>
      <c r="E121">
        <f t="shared" si="11"/>
        <v>104.8201214749395</v>
      </c>
      <c r="F121">
        <f t="shared" si="12"/>
        <v>108.60839298925158</v>
      </c>
      <c r="G121">
        <f t="shared" si="9"/>
        <v>101.03184996062741</v>
      </c>
      <c r="H121">
        <f t="shared" si="13"/>
        <v>-3.3117812723764954</v>
      </c>
      <c r="I121">
        <f t="shared" si="10"/>
        <v>97.720068688250919</v>
      </c>
      <c r="J121">
        <f t="shared" si="14"/>
        <v>5.2594767662940853</v>
      </c>
      <c r="K121">
        <f t="shared" si="15"/>
        <v>27.662095855187289</v>
      </c>
      <c r="L121">
        <f t="shared" si="16"/>
        <v>5.2594767662940853</v>
      </c>
      <c r="M121">
        <f t="shared" si="17"/>
        <v>5.1073023706592391E-2</v>
      </c>
    </row>
    <row r="122" spans="2:13" ht="12.75" x14ac:dyDescent="0.2">
      <c r="B122" s="2">
        <v>41122</v>
      </c>
      <c r="C122" s="1">
        <v>113.780434782608</v>
      </c>
      <c r="E122">
        <f t="shared" si="11"/>
        <v>108.99961121938159</v>
      </c>
      <c r="F122">
        <f t="shared" si="12"/>
        <v>108.79087461958341</v>
      </c>
      <c r="G122">
        <f t="shared" si="9"/>
        <v>109.20834781917978</v>
      </c>
      <c r="H122">
        <f t="shared" si="13"/>
        <v>0.18248163033179848</v>
      </c>
      <c r="I122">
        <f t="shared" si="10"/>
        <v>109.39082944951157</v>
      </c>
      <c r="J122">
        <f t="shared" si="14"/>
        <v>4.3896053330964264</v>
      </c>
      <c r="K122">
        <f t="shared" si="15"/>
        <v>19.26863498034859</v>
      </c>
      <c r="L122">
        <f t="shared" si="16"/>
        <v>4.3896053330964264</v>
      </c>
      <c r="M122">
        <f t="shared" si="17"/>
        <v>3.8579614689320939E-2</v>
      </c>
    </row>
    <row r="123" spans="2:13" ht="12.75" x14ac:dyDescent="0.2">
      <c r="B123" s="2">
        <v>41153</v>
      </c>
      <c r="C123" s="1">
        <v>113.641499999999</v>
      </c>
      <c r="E123">
        <f t="shared" si="11"/>
        <v>111.16479516856644</v>
      </c>
      <c r="F123">
        <f t="shared" si="12"/>
        <v>109.89817703724592</v>
      </c>
      <c r="G123">
        <f t="shared" si="9"/>
        <v>112.43141329988697</v>
      </c>
      <c r="H123">
        <f t="shared" si="13"/>
        <v>1.1073024176625215</v>
      </c>
      <c r="I123">
        <f t="shared" si="10"/>
        <v>113.53871571754949</v>
      </c>
      <c r="J123">
        <f t="shared" si="14"/>
        <v>0.10278428244950533</v>
      </c>
      <c r="K123">
        <f t="shared" si="15"/>
        <v>1.0564608718659689E-2</v>
      </c>
      <c r="L123">
        <f t="shared" si="16"/>
        <v>0.10278428244950533</v>
      </c>
      <c r="M123">
        <f t="shared" si="17"/>
        <v>9.0446080392731735E-4</v>
      </c>
    </row>
    <row r="124" spans="2:13" ht="12.75" x14ac:dyDescent="0.2">
      <c r="B124" s="2">
        <v>41183</v>
      </c>
      <c r="C124" s="1">
        <v>111.79260869565201</v>
      </c>
      <c r="E124">
        <f t="shared" si="11"/>
        <v>111.45763539722569</v>
      </c>
      <c r="F124">
        <f t="shared" si="12"/>
        <v>110.62557796605518</v>
      </c>
      <c r="G124">
        <f t="shared" si="9"/>
        <v>112.2896928283962</v>
      </c>
      <c r="H124">
        <f t="shared" si="13"/>
        <v>0.72740092880923934</v>
      </c>
      <c r="I124">
        <f t="shared" si="10"/>
        <v>113.01709375720544</v>
      </c>
      <c r="J124">
        <f t="shared" si="14"/>
        <v>-1.2244850615534375</v>
      </c>
      <c r="K124">
        <f t="shared" si="15"/>
        <v>1.4993636659675256</v>
      </c>
      <c r="L124">
        <f t="shared" si="16"/>
        <v>1.2244850615534375</v>
      </c>
      <c r="M124">
        <f t="shared" si="17"/>
        <v>1.0953184435359382E-2</v>
      </c>
    </row>
    <row r="125" spans="2:13" ht="12.75" x14ac:dyDescent="0.2">
      <c r="B125" s="2">
        <v>41214</v>
      </c>
      <c r="C125" s="1">
        <v>109.91181818181801</v>
      </c>
      <c r="E125">
        <f t="shared" si="11"/>
        <v>110.73659730662129</v>
      </c>
      <c r="F125">
        <f t="shared" si="12"/>
        <v>110.6773623378063</v>
      </c>
      <c r="G125">
        <f t="shared" si="9"/>
        <v>110.79583227543628</v>
      </c>
      <c r="H125">
        <f t="shared" si="13"/>
        <v>5.1784371751113986E-2</v>
      </c>
      <c r="I125">
        <f t="shared" si="10"/>
        <v>110.84761664718739</v>
      </c>
      <c r="J125">
        <f t="shared" si="14"/>
        <v>-0.9357984653693876</v>
      </c>
      <c r="K125">
        <f t="shared" si="15"/>
        <v>0.87571876778770097</v>
      </c>
      <c r="L125">
        <f t="shared" si="16"/>
        <v>0.9357984653693876</v>
      </c>
      <c r="M125">
        <f t="shared" si="17"/>
        <v>8.5140841162446596E-3</v>
      </c>
    </row>
    <row r="126" spans="2:13" ht="12.75" x14ac:dyDescent="0.2">
      <c r="B126" s="2">
        <v>41244</v>
      </c>
      <c r="C126" s="1">
        <v>109.569047619047</v>
      </c>
      <c r="E126">
        <f t="shared" si="11"/>
        <v>110.19200006121392</v>
      </c>
      <c r="F126">
        <f t="shared" si="12"/>
        <v>110.45096772550845</v>
      </c>
      <c r="G126">
        <f t="shared" si="9"/>
        <v>109.93303239691939</v>
      </c>
      <c r="H126">
        <f t="shared" si="13"/>
        <v>-0.22639461229785951</v>
      </c>
      <c r="I126">
        <f t="shared" si="10"/>
        <v>109.70663778462153</v>
      </c>
      <c r="J126">
        <f t="shared" si="14"/>
        <v>-0.13759016557453663</v>
      </c>
      <c r="K126">
        <f t="shared" si="15"/>
        <v>1.8931053662828403E-2</v>
      </c>
      <c r="L126">
        <f t="shared" si="16"/>
        <v>0.13759016557453663</v>
      </c>
      <c r="M126">
        <f t="shared" si="17"/>
        <v>1.2557393585541996E-3</v>
      </c>
    </row>
    <row r="127" spans="2:13" ht="12.75" x14ac:dyDescent="0.2">
      <c r="B127" s="2">
        <v>41275</v>
      </c>
      <c r="C127" s="1">
        <v>112.527826086956</v>
      </c>
      <c r="E127">
        <f t="shared" si="11"/>
        <v>111.28153349427311</v>
      </c>
      <c r="F127">
        <f t="shared" si="12"/>
        <v>110.8383806421601</v>
      </c>
      <c r="G127">
        <f t="shared" si="9"/>
        <v>111.72468634638611</v>
      </c>
      <c r="H127">
        <f t="shared" si="13"/>
        <v>0.38741291665166644</v>
      </c>
      <c r="I127">
        <f t="shared" si="10"/>
        <v>112.11209926303778</v>
      </c>
      <c r="J127">
        <f t="shared" si="14"/>
        <v>0.41572682391822013</v>
      </c>
      <c r="K127">
        <f t="shared" si="15"/>
        <v>0.1728287921251308</v>
      </c>
      <c r="L127">
        <f t="shared" si="16"/>
        <v>0.41572682391822013</v>
      </c>
      <c r="M127">
        <f t="shared" si="17"/>
        <v>3.6944357531351114E-3</v>
      </c>
    </row>
    <row r="128" spans="2:13" ht="12.75" x14ac:dyDescent="0.2">
      <c r="B128" s="2">
        <v>41306</v>
      </c>
      <c r="C128" s="1">
        <v>116.488</v>
      </c>
      <c r="E128">
        <f t="shared" si="11"/>
        <v>113.71006167384509</v>
      </c>
      <c r="F128">
        <f t="shared" si="12"/>
        <v>112.17786074839304</v>
      </c>
      <c r="G128">
        <f t="shared" si="9"/>
        <v>115.24226259929713</v>
      </c>
      <c r="H128">
        <f t="shared" si="13"/>
        <v>1.3394801062329518</v>
      </c>
      <c r="I128">
        <f t="shared" si="10"/>
        <v>116.58174270553009</v>
      </c>
      <c r="J128">
        <f t="shared" si="14"/>
        <v>-9.374270553009012E-2</v>
      </c>
      <c r="K128">
        <f t="shared" si="15"/>
        <v>8.7876948401011887E-3</v>
      </c>
      <c r="L128">
        <f t="shared" si="16"/>
        <v>9.374270553009012E-2</v>
      </c>
      <c r="M128">
        <f t="shared" si="17"/>
        <v>8.0474130837588525E-4</v>
      </c>
    </row>
    <row r="129" spans="2:13" ht="12.75" x14ac:dyDescent="0.2">
      <c r="B129" s="2">
        <v>41334</v>
      </c>
      <c r="C129" s="1">
        <v>109.585714285714</v>
      </c>
      <c r="E129">
        <f t="shared" si="11"/>
        <v>111.78628211175568</v>
      </c>
      <c r="F129">
        <f t="shared" si="12"/>
        <v>111.99521100839257</v>
      </c>
      <c r="G129">
        <f t="shared" si="9"/>
        <v>111.57735321511879</v>
      </c>
      <c r="H129">
        <f t="shared" si="13"/>
        <v>-0.18264974000048359</v>
      </c>
      <c r="I129">
        <f t="shared" si="10"/>
        <v>111.39470347511831</v>
      </c>
      <c r="J129">
        <f t="shared" si="14"/>
        <v>-1.8089891894043006</v>
      </c>
      <c r="K129">
        <f t="shared" si="15"/>
        <v>3.2724418873816288</v>
      </c>
      <c r="L129">
        <f t="shared" si="16"/>
        <v>1.8089891894043006</v>
      </c>
      <c r="M129">
        <f t="shared" si="17"/>
        <v>1.6507527474684053E-2</v>
      </c>
    </row>
    <row r="130" spans="2:13" ht="12.75" x14ac:dyDescent="0.2">
      <c r="B130" s="2">
        <v>41365</v>
      </c>
      <c r="C130" s="1">
        <v>102.959999999999</v>
      </c>
      <c r="E130">
        <f t="shared" si="11"/>
        <v>107.66931049469528</v>
      </c>
      <c r="F130">
        <f t="shared" si="12"/>
        <v>109.97741807954475</v>
      </c>
      <c r="G130">
        <f t="shared" si="9"/>
        <v>105.36120290984582</v>
      </c>
      <c r="H130">
        <f t="shared" si="13"/>
        <v>-2.0177929288478342</v>
      </c>
      <c r="I130">
        <f t="shared" si="10"/>
        <v>103.34340998099798</v>
      </c>
      <c r="J130">
        <f t="shared" si="14"/>
        <v>-0.38340998099897661</v>
      </c>
      <c r="K130">
        <f t="shared" si="15"/>
        <v>0.14700321352963561</v>
      </c>
      <c r="L130">
        <f t="shared" si="16"/>
        <v>0.38340998099897661</v>
      </c>
      <c r="M130">
        <f t="shared" si="17"/>
        <v>3.7238731643257608E-3</v>
      </c>
    </row>
    <row r="131" spans="2:13" ht="12.75" x14ac:dyDescent="0.2">
      <c r="B131" s="2">
        <v>41395</v>
      </c>
      <c r="C131" s="1">
        <v>102.980434782608</v>
      </c>
      <c r="E131">
        <f t="shared" si="11"/>
        <v>105.48220974511986</v>
      </c>
      <c r="F131">
        <f t="shared" si="12"/>
        <v>107.88065243221182</v>
      </c>
      <c r="G131">
        <f t="shared" si="9"/>
        <v>103.0837670580279</v>
      </c>
      <c r="H131">
        <f t="shared" si="13"/>
        <v>-2.0967656473329361</v>
      </c>
      <c r="I131">
        <f t="shared" si="10"/>
        <v>100.98700141069497</v>
      </c>
      <c r="J131">
        <f t="shared" si="14"/>
        <v>1.9934333719130279</v>
      </c>
      <c r="K131">
        <f t="shared" si="15"/>
        <v>3.9737766082565442</v>
      </c>
      <c r="L131">
        <f t="shared" si="16"/>
        <v>1.9934333719130279</v>
      </c>
      <c r="M131">
        <f t="shared" si="17"/>
        <v>1.9357399064406474E-2</v>
      </c>
    </row>
    <row r="132" spans="2:13" ht="12.75" x14ac:dyDescent="0.2">
      <c r="B132" s="2">
        <v>41426</v>
      </c>
      <c r="C132" s="1">
        <v>103.35850000000001</v>
      </c>
      <c r="E132">
        <f t="shared" si="11"/>
        <v>104.49161680543952</v>
      </c>
      <c r="F132">
        <f t="shared" si="12"/>
        <v>106.29985506952123</v>
      </c>
      <c r="G132">
        <f t="shared" si="9"/>
        <v>102.68337854135781</v>
      </c>
      <c r="H132">
        <f t="shared" si="13"/>
        <v>-1.5807973626905776</v>
      </c>
      <c r="I132">
        <f t="shared" si="10"/>
        <v>101.10258117866724</v>
      </c>
      <c r="J132">
        <f t="shared" si="14"/>
        <v>2.2559188213327701</v>
      </c>
      <c r="K132">
        <f t="shared" si="15"/>
        <v>5.0891697284434345</v>
      </c>
      <c r="L132">
        <f t="shared" si="16"/>
        <v>2.2559188213327701</v>
      </c>
      <c r="M132">
        <f t="shared" si="17"/>
        <v>2.1826156739240314E-2</v>
      </c>
    </row>
    <row r="133" spans="2:13" ht="12.75" x14ac:dyDescent="0.2">
      <c r="B133" s="2">
        <v>41456</v>
      </c>
      <c r="C133" s="1">
        <v>107.779565217391</v>
      </c>
      <c r="E133">
        <f t="shared" si="11"/>
        <v>106.02526258278584</v>
      </c>
      <c r="F133">
        <f t="shared" si="12"/>
        <v>106.17177288725767</v>
      </c>
      <c r="G133">
        <f t="shared" si="9"/>
        <v>105.87875227831401</v>
      </c>
      <c r="H133">
        <f t="shared" si="13"/>
        <v>-0.12808218226356477</v>
      </c>
      <c r="I133">
        <f t="shared" si="10"/>
        <v>105.75067009605044</v>
      </c>
      <c r="J133">
        <f t="shared" si="14"/>
        <v>2.0288951213405539</v>
      </c>
      <c r="K133">
        <f t="shared" si="15"/>
        <v>4.1164154133995012</v>
      </c>
      <c r="L133">
        <f t="shared" si="16"/>
        <v>2.0288951213405539</v>
      </c>
      <c r="M133">
        <f t="shared" si="17"/>
        <v>1.8824487900357362E-2</v>
      </c>
    </row>
    <row r="134" spans="2:13" ht="12.75" x14ac:dyDescent="0.2">
      <c r="B134" s="2">
        <v>41487</v>
      </c>
      <c r="C134" s="1">
        <v>111.058181818181</v>
      </c>
      <c r="E134">
        <f t="shared" si="11"/>
        <v>108.37284057550369</v>
      </c>
      <c r="F134">
        <f t="shared" si="12"/>
        <v>107.19844902167074</v>
      </c>
      <c r="G134">
        <f t="shared" si="9"/>
        <v>109.54723212933663</v>
      </c>
      <c r="H134">
        <f t="shared" si="13"/>
        <v>1.0266761344130722</v>
      </c>
      <c r="I134">
        <f t="shared" si="10"/>
        <v>110.5739082637497</v>
      </c>
      <c r="J134">
        <f t="shared" si="14"/>
        <v>0.48427355443129727</v>
      </c>
      <c r="K134">
        <f t="shared" si="15"/>
        <v>0.23452087552152265</v>
      </c>
      <c r="L134">
        <f t="shared" si="16"/>
        <v>0.48427355443129727</v>
      </c>
      <c r="M134">
        <f t="shared" si="17"/>
        <v>4.3605391921878039E-3</v>
      </c>
    </row>
    <row r="135" spans="2:13" ht="12.75" x14ac:dyDescent="0.2">
      <c r="B135" s="2">
        <v>41518</v>
      </c>
      <c r="C135" s="1">
        <v>111.962857142857</v>
      </c>
      <c r="E135">
        <f t="shared" si="11"/>
        <v>110.04738441235693</v>
      </c>
      <c r="F135">
        <f t="shared" si="12"/>
        <v>108.5273195465173</v>
      </c>
      <c r="G135">
        <f t="shared" si="9"/>
        <v>111.56744927819656</v>
      </c>
      <c r="H135">
        <f t="shared" si="13"/>
        <v>1.3288705248465595</v>
      </c>
      <c r="I135">
        <f t="shared" si="10"/>
        <v>112.89631980304313</v>
      </c>
      <c r="J135">
        <f t="shared" si="14"/>
        <v>-0.93346266018612312</v>
      </c>
      <c r="K135">
        <f t="shared" si="15"/>
        <v>0.8713525379617536</v>
      </c>
      <c r="L135">
        <f t="shared" si="16"/>
        <v>0.93346266018612312</v>
      </c>
      <c r="M135">
        <f t="shared" si="17"/>
        <v>8.337252942688736E-3</v>
      </c>
    </row>
    <row r="136" spans="2:13" ht="12.75" x14ac:dyDescent="0.2">
      <c r="B136" s="2">
        <v>41548</v>
      </c>
      <c r="C136" s="1">
        <v>109.618695652173</v>
      </c>
      <c r="E136">
        <f t="shared" si="11"/>
        <v>109.84742485567347</v>
      </c>
      <c r="F136">
        <f t="shared" si="12"/>
        <v>109.143075537603</v>
      </c>
      <c r="G136">
        <f t="shared" ref="G136:G199" si="18">2*E136-F136</f>
        <v>110.55177417374394</v>
      </c>
      <c r="H136">
        <f t="shared" si="13"/>
        <v>0.61575599108569312</v>
      </c>
      <c r="I136">
        <f t="shared" ref="I136:I199" si="19">G136+H136</f>
        <v>111.16753016482963</v>
      </c>
      <c r="J136">
        <f t="shared" si="14"/>
        <v>-1.5488345126566259</v>
      </c>
      <c r="K136">
        <f t="shared" si="15"/>
        <v>2.3988883475962877</v>
      </c>
      <c r="L136">
        <f t="shared" si="16"/>
        <v>1.5488345126566259</v>
      </c>
      <c r="M136">
        <f t="shared" si="17"/>
        <v>1.4129291572408186E-2</v>
      </c>
    </row>
    <row r="137" spans="2:13" ht="12.75" x14ac:dyDescent="0.2">
      <c r="B137" s="2">
        <v>41579</v>
      </c>
      <c r="C137" s="1">
        <v>108.150476190476</v>
      </c>
      <c r="E137">
        <f t="shared" ref="E137:E200" si="20">$D$2*C137+(1-$D$2)*E136</f>
        <v>109.0558923166307</v>
      </c>
      <c r="F137">
        <f t="shared" ref="F137:F200" si="21">$D$2*E137+(1-$D$2)*F136</f>
        <v>109.10240939508884</v>
      </c>
      <c r="G137">
        <f t="shared" si="18"/>
        <v>109.00937523817257</v>
      </c>
      <c r="H137">
        <f t="shared" ref="H137:H200" si="22">($D$2/(1-$D$2))*(E137-F137)</f>
        <v>-4.0666142514154652E-2</v>
      </c>
      <c r="I137">
        <f t="shared" si="19"/>
        <v>108.96870909565841</v>
      </c>
      <c r="J137">
        <f t="shared" ref="J137:J200" si="23">C137-I137</f>
        <v>-0.81823290518241265</v>
      </c>
      <c r="K137">
        <f t="shared" ref="K137:K200" si="24">POWER(J137,2)</f>
        <v>0.66950508712325107</v>
      </c>
      <c r="L137">
        <f t="shared" ref="L137:L200" si="25">ABS(C137-I137)</f>
        <v>0.81823290518241265</v>
      </c>
      <c r="M137">
        <f t="shared" ref="M137:M200" si="26">L137/C137</f>
        <v>7.5656893432566163E-3</v>
      </c>
    </row>
    <row r="138" spans="2:13" ht="12.75" x14ac:dyDescent="0.2">
      <c r="B138" s="2">
        <v>41609</v>
      </c>
      <c r="C138" s="1">
        <v>111.070454545454</v>
      </c>
      <c r="E138">
        <f t="shared" si="20"/>
        <v>109.99557398688005</v>
      </c>
      <c r="F138">
        <f t="shared" si="21"/>
        <v>109.51902119462216</v>
      </c>
      <c r="G138">
        <f t="shared" si="18"/>
        <v>110.47212677913794</v>
      </c>
      <c r="H138">
        <f t="shared" si="22"/>
        <v>0.41661179953332977</v>
      </c>
      <c r="I138">
        <f t="shared" si="19"/>
        <v>110.88873857867127</v>
      </c>
      <c r="J138">
        <f t="shared" si="23"/>
        <v>0.18171596678273261</v>
      </c>
      <c r="K138">
        <f t="shared" si="24"/>
        <v>3.3020692583783179E-2</v>
      </c>
      <c r="L138">
        <f t="shared" si="25"/>
        <v>0.18171596678273261</v>
      </c>
      <c r="M138">
        <f t="shared" si="26"/>
        <v>1.6360423438113144E-3</v>
      </c>
    </row>
    <row r="139" spans="2:13" ht="12.75" x14ac:dyDescent="0.2">
      <c r="B139" s="2">
        <v>41640</v>
      </c>
      <c r="C139" s="1">
        <v>107.926956521739</v>
      </c>
      <c r="E139">
        <f t="shared" si="20"/>
        <v>109.03067854362233</v>
      </c>
      <c r="F139">
        <f t="shared" si="21"/>
        <v>109.29123640278004</v>
      </c>
      <c r="G139">
        <f t="shared" si="18"/>
        <v>108.77012068446462</v>
      </c>
      <c r="H139">
        <f t="shared" si="22"/>
        <v>-0.22778479184212508</v>
      </c>
      <c r="I139">
        <f t="shared" si="19"/>
        <v>108.54233589262249</v>
      </c>
      <c r="J139">
        <f t="shared" si="23"/>
        <v>-0.61537937088348826</v>
      </c>
      <c r="K139">
        <f t="shared" si="24"/>
        <v>0.37869177010895783</v>
      </c>
      <c r="L139">
        <f t="shared" si="25"/>
        <v>0.61537937088348826</v>
      </c>
      <c r="M139">
        <f t="shared" si="26"/>
        <v>5.7018134367528145E-3</v>
      </c>
    </row>
    <row r="140" spans="2:13" ht="12.75" x14ac:dyDescent="0.2">
      <c r="B140" s="2">
        <v>41671</v>
      </c>
      <c r="C140" s="1">
        <v>108.837999999999</v>
      </c>
      <c r="E140">
        <f t="shared" si="20"/>
        <v>108.94080467767631</v>
      </c>
      <c r="F140">
        <f t="shared" si="21"/>
        <v>109.12777941741496</v>
      </c>
      <c r="G140">
        <f t="shared" si="18"/>
        <v>108.75382993793767</v>
      </c>
      <c r="H140">
        <f t="shared" si="22"/>
        <v>-0.16345698536509395</v>
      </c>
      <c r="I140">
        <f t="shared" si="19"/>
        <v>108.59037295257258</v>
      </c>
      <c r="J140">
        <f t="shared" si="23"/>
        <v>0.24762704742641972</v>
      </c>
      <c r="K140">
        <f t="shared" si="24"/>
        <v>6.1319154617126323E-2</v>
      </c>
      <c r="L140">
        <f t="shared" si="25"/>
        <v>0.24762704742641972</v>
      </c>
      <c r="M140">
        <f t="shared" si="26"/>
        <v>2.2751892484832686E-3</v>
      </c>
    </row>
    <row r="141" spans="2:13" ht="12.75" x14ac:dyDescent="0.2">
      <c r="B141" s="2">
        <v>41699</v>
      </c>
      <c r="C141" s="1">
        <v>107.86809523809499</v>
      </c>
      <c r="E141">
        <f t="shared" si="20"/>
        <v>108.4404451536785</v>
      </c>
      <c r="F141">
        <f t="shared" si="21"/>
        <v>108.80717606263809</v>
      </c>
      <c r="G141">
        <f t="shared" si="18"/>
        <v>108.0737142447189</v>
      </c>
      <c r="H141">
        <f t="shared" si="22"/>
        <v>-0.32060335477684132</v>
      </c>
      <c r="I141">
        <f t="shared" si="19"/>
        <v>107.75311088994206</v>
      </c>
      <c r="J141">
        <f t="shared" si="23"/>
        <v>0.11498434815293024</v>
      </c>
      <c r="K141">
        <f t="shared" si="24"/>
        <v>1.3221400320154271E-2</v>
      </c>
      <c r="L141">
        <f t="shared" si="25"/>
        <v>0.11498434815293024</v>
      </c>
      <c r="M141">
        <f t="shared" si="26"/>
        <v>1.0659718047224963E-3</v>
      </c>
    </row>
    <row r="142" spans="2:13" ht="12.75" x14ac:dyDescent="0.2">
      <c r="B142" s="2">
        <v>41730</v>
      </c>
      <c r="C142" s="1">
        <v>108.00363636363601</v>
      </c>
      <c r="E142">
        <f t="shared" si="20"/>
        <v>108.23669805292676</v>
      </c>
      <c r="F142">
        <f t="shared" si="21"/>
        <v>108.54107967636801</v>
      </c>
      <c r="G142">
        <f t="shared" si="18"/>
        <v>107.9323164294855</v>
      </c>
      <c r="H142">
        <f t="shared" si="22"/>
        <v>-0.26609638627007626</v>
      </c>
      <c r="I142">
        <f t="shared" si="19"/>
        <v>107.66622004321542</v>
      </c>
      <c r="J142">
        <f t="shared" si="23"/>
        <v>0.33741632042058711</v>
      </c>
      <c r="K142">
        <f t="shared" si="24"/>
        <v>0.11384977328616831</v>
      </c>
      <c r="L142">
        <f t="shared" si="25"/>
        <v>0.33741632042058711</v>
      </c>
      <c r="M142">
        <f t="shared" si="26"/>
        <v>3.1241199998539365E-3</v>
      </c>
    </row>
    <row r="143" spans="2:13" ht="12.75" x14ac:dyDescent="0.2">
      <c r="B143" s="2">
        <v>41760</v>
      </c>
      <c r="C143" s="1">
        <v>109.832272727272</v>
      </c>
      <c r="E143">
        <f t="shared" si="20"/>
        <v>108.9809452414944</v>
      </c>
      <c r="F143">
        <f t="shared" si="21"/>
        <v>108.7462525933469</v>
      </c>
      <c r="G143">
        <f t="shared" si="18"/>
        <v>109.2156378896419</v>
      </c>
      <c r="H143">
        <f t="shared" si="22"/>
        <v>0.20517291697886153</v>
      </c>
      <c r="I143">
        <f t="shared" si="19"/>
        <v>109.42081080662076</v>
      </c>
      <c r="J143">
        <f t="shared" si="23"/>
        <v>0.41146192065123444</v>
      </c>
      <c r="K143">
        <f t="shared" si="24"/>
        <v>0.16930091214600274</v>
      </c>
      <c r="L143">
        <f t="shared" si="25"/>
        <v>0.41146192065123444</v>
      </c>
      <c r="M143">
        <f t="shared" si="26"/>
        <v>3.7462752106837359E-3</v>
      </c>
    </row>
    <row r="144" spans="2:13" ht="12.75" x14ac:dyDescent="0.2">
      <c r="B144" s="2">
        <v>41791</v>
      </c>
      <c r="C144" s="1">
        <v>112.240952380952</v>
      </c>
      <c r="E144">
        <f t="shared" si="20"/>
        <v>110.50155796320695</v>
      </c>
      <c r="F144">
        <f t="shared" si="21"/>
        <v>109.56500530207367</v>
      </c>
      <c r="G144">
        <f t="shared" si="18"/>
        <v>111.43811062434023</v>
      </c>
      <c r="H144">
        <f t="shared" si="22"/>
        <v>0.81875270872678918</v>
      </c>
      <c r="I144">
        <f t="shared" si="19"/>
        <v>112.25686333306702</v>
      </c>
      <c r="J144">
        <f t="shared" si="23"/>
        <v>-1.591095211502136E-2</v>
      </c>
      <c r="K144">
        <f t="shared" si="24"/>
        <v>2.5315839720650268E-4</v>
      </c>
      <c r="L144">
        <f t="shared" si="25"/>
        <v>1.591095211502136E-2</v>
      </c>
      <c r="M144">
        <f t="shared" si="26"/>
        <v>1.4175710181983051E-4</v>
      </c>
    </row>
    <row r="145" spans="2:13" ht="12.75" x14ac:dyDescent="0.2">
      <c r="B145" s="2">
        <v>41821</v>
      </c>
      <c r="C145" s="1">
        <v>107.46260869565199</v>
      </c>
      <c r="E145">
        <f t="shared" si="20"/>
        <v>109.0840564918292</v>
      </c>
      <c r="F145">
        <f t="shared" si="21"/>
        <v>109.34066932731506</v>
      </c>
      <c r="G145">
        <f t="shared" si="18"/>
        <v>108.82744365634335</v>
      </c>
      <c r="H145">
        <f t="shared" si="22"/>
        <v>-0.22433597475861067</v>
      </c>
      <c r="I145">
        <f t="shared" si="19"/>
        <v>108.60310768158473</v>
      </c>
      <c r="J145">
        <f t="shared" si="23"/>
        <v>-1.1404989859327372</v>
      </c>
      <c r="K145">
        <f t="shared" si="24"/>
        <v>1.3007379369136021</v>
      </c>
      <c r="L145">
        <f t="shared" si="25"/>
        <v>1.1404989859327372</v>
      </c>
      <c r="M145">
        <f t="shared" si="26"/>
        <v>1.0612984365220259E-2</v>
      </c>
    </row>
    <row r="146" spans="2:13" ht="12.75" x14ac:dyDescent="0.2">
      <c r="B146" s="2">
        <v>41852</v>
      </c>
      <c r="C146" s="1">
        <v>102.40190476190401</v>
      </c>
      <c r="E146">
        <f t="shared" si="20"/>
        <v>105.96720291014398</v>
      </c>
      <c r="F146">
        <f t="shared" si="21"/>
        <v>107.76713413834798</v>
      </c>
      <c r="G146">
        <f t="shared" si="18"/>
        <v>104.16727168193998</v>
      </c>
      <c r="H146">
        <f t="shared" si="22"/>
        <v>-1.5735351889670703</v>
      </c>
      <c r="I146">
        <f t="shared" si="19"/>
        <v>102.59373649297291</v>
      </c>
      <c r="J146">
        <f t="shared" si="23"/>
        <v>-0.19183173106890195</v>
      </c>
      <c r="K146">
        <f t="shared" si="24"/>
        <v>3.6799413044891517E-2</v>
      </c>
      <c r="L146">
        <f t="shared" si="25"/>
        <v>0.19183173106890195</v>
      </c>
      <c r="M146">
        <f t="shared" si="26"/>
        <v>1.873321902702224E-3</v>
      </c>
    </row>
    <row r="147" spans="2:13" ht="12.75" x14ac:dyDescent="0.2">
      <c r="B147" s="2">
        <v>41883</v>
      </c>
      <c r="C147" s="1">
        <v>97.852727272727194</v>
      </c>
      <c r="E147">
        <f t="shared" si="20"/>
        <v>102.18224957831308</v>
      </c>
      <c r="F147">
        <f t="shared" si="21"/>
        <v>105.16209490131794</v>
      </c>
      <c r="G147">
        <f t="shared" si="18"/>
        <v>99.20240425530821</v>
      </c>
      <c r="H147">
        <f t="shared" si="22"/>
        <v>-2.6050392370300437</v>
      </c>
      <c r="I147">
        <f t="shared" si="19"/>
        <v>96.597365018278168</v>
      </c>
      <c r="J147">
        <f t="shared" si="23"/>
        <v>1.2553622544490253</v>
      </c>
      <c r="K147">
        <f t="shared" si="24"/>
        <v>1.5759343898953393</v>
      </c>
      <c r="L147">
        <f t="shared" si="25"/>
        <v>1.2553622544490253</v>
      </c>
      <c r="M147">
        <f t="shared" si="26"/>
        <v>1.2829098272858367E-2</v>
      </c>
    </row>
    <row r="148" spans="2:13" ht="12.75" x14ac:dyDescent="0.2">
      <c r="B148" s="2">
        <v>41913</v>
      </c>
      <c r="C148" s="1">
        <v>87.584782608695605</v>
      </c>
      <c r="E148">
        <f t="shared" si="20"/>
        <v>95.37333995657761</v>
      </c>
      <c r="F148">
        <f t="shared" si="21"/>
        <v>100.5961830299791</v>
      </c>
      <c r="G148">
        <f t="shared" si="18"/>
        <v>90.150496883176118</v>
      </c>
      <c r="H148">
        <f t="shared" si="22"/>
        <v>-4.5659118713388507</v>
      </c>
      <c r="I148">
        <f t="shared" si="19"/>
        <v>85.584585011837262</v>
      </c>
      <c r="J148">
        <f t="shared" si="23"/>
        <v>2.0001975968583423</v>
      </c>
      <c r="K148">
        <f t="shared" si="24"/>
        <v>4.000790426477888</v>
      </c>
      <c r="L148">
        <f t="shared" si="25"/>
        <v>2.0001975968583423</v>
      </c>
      <c r="M148">
        <f t="shared" si="26"/>
        <v>2.2837273065969322E-2</v>
      </c>
    </row>
    <row r="149" spans="2:13" ht="12.75" x14ac:dyDescent="0.2">
      <c r="B149" s="2">
        <v>41944</v>
      </c>
      <c r="C149" s="1">
        <v>79.229500000000002</v>
      </c>
      <c r="E149">
        <f t="shared" si="20"/>
        <v>87.843133007599022</v>
      </c>
      <c r="F149">
        <f t="shared" si="21"/>
        <v>94.647591730913945</v>
      </c>
      <c r="G149">
        <f t="shared" si="18"/>
        <v>81.038674284284099</v>
      </c>
      <c r="H149">
        <f t="shared" si="22"/>
        <v>-5.9485912990651508</v>
      </c>
      <c r="I149">
        <f t="shared" si="19"/>
        <v>75.090082985218942</v>
      </c>
      <c r="J149">
        <f t="shared" si="23"/>
        <v>4.1394170147810598</v>
      </c>
      <c r="K149">
        <f t="shared" si="24"/>
        <v>17.134773222258939</v>
      </c>
      <c r="L149">
        <f t="shared" si="25"/>
        <v>4.1394170147810598</v>
      </c>
      <c r="M149">
        <f t="shared" si="26"/>
        <v>5.2245906067576592E-2</v>
      </c>
    </row>
    <row r="150" spans="2:13" ht="12.75" x14ac:dyDescent="0.2">
      <c r="B150" s="2">
        <v>41974</v>
      </c>
      <c r="C150" s="1">
        <v>62.903913043478198</v>
      </c>
      <c r="E150">
        <f t="shared" si="20"/>
        <v>76.210368561156884</v>
      </c>
      <c r="F150">
        <f t="shared" si="21"/>
        <v>86.047648569546908</v>
      </c>
      <c r="G150">
        <f t="shared" si="18"/>
        <v>66.373088552766859</v>
      </c>
      <c r="H150">
        <f t="shared" si="22"/>
        <v>-8.5999431613670367</v>
      </c>
      <c r="I150">
        <f t="shared" si="19"/>
        <v>57.773145391399822</v>
      </c>
      <c r="J150">
        <f t="shared" si="23"/>
        <v>5.1307676520783758</v>
      </c>
      <c r="K150">
        <f t="shared" si="24"/>
        <v>26.324776699613849</v>
      </c>
      <c r="L150">
        <f t="shared" si="25"/>
        <v>5.1307676520783758</v>
      </c>
      <c r="M150">
        <f t="shared" si="26"/>
        <v>8.1565158729188597E-2</v>
      </c>
    </row>
    <row r="151" spans="2:13" ht="12.75" x14ac:dyDescent="0.2">
      <c r="B151" s="2">
        <v>42005</v>
      </c>
      <c r="C151" s="1">
        <v>48.933181818181801</v>
      </c>
      <c r="E151">
        <f t="shared" si="20"/>
        <v>63.487072138929378</v>
      </c>
      <c r="F151">
        <f t="shared" si="21"/>
        <v>75.524389551386193</v>
      </c>
      <c r="G151">
        <f t="shared" si="18"/>
        <v>51.449754726472563</v>
      </c>
      <c r="H151">
        <f t="shared" si="22"/>
        <v>-10.523259018160706</v>
      </c>
      <c r="I151">
        <f t="shared" si="19"/>
        <v>40.926495708311855</v>
      </c>
      <c r="J151">
        <f t="shared" si="23"/>
        <v>8.0066861098699462</v>
      </c>
      <c r="K151">
        <f t="shared" si="24"/>
        <v>64.107022461984329</v>
      </c>
      <c r="L151">
        <f t="shared" si="25"/>
        <v>8.0066861098699462</v>
      </c>
      <c r="M151">
        <f t="shared" si="26"/>
        <v>0.16362488218362597</v>
      </c>
    </row>
    <row r="152" spans="2:13" ht="12.75" x14ac:dyDescent="0.2">
      <c r="B152" s="2">
        <v>42036</v>
      </c>
      <c r="C152" s="1">
        <v>58.253999999999998</v>
      </c>
      <c r="E152">
        <f t="shared" si="20"/>
        <v>61.046133905456827</v>
      </c>
      <c r="F152">
        <f t="shared" si="21"/>
        <v>68.771085407681213</v>
      </c>
      <c r="G152">
        <f t="shared" si="18"/>
        <v>53.321182403232442</v>
      </c>
      <c r="H152">
        <f t="shared" si="22"/>
        <v>-6.753304143704991</v>
      </c>
      <c r="I152">
        <f t="shared" si="19"/>
        <v>46.567878259527447</v>
      </c>
      <c r="J152">
        <f t="shared" si="23"/>
        <v>11.686121740472551</v>
      </c>
      <c r="K152">
        <f t="shared" si="24"/>
        <v>136.5654413331452</v>
      </c>
      <c r="L152">
        <f t="shared" si="25"/>
        <v>11.686121740472551</v>
      </c>
      <c r="M152">
        <f t="shared" si="26"/>
        <v>0.20060634017359411</v>
      </c>
    </row>
    <row r="153" spans="2:13" ht="12.75" x14ac:dyDescent="0.2">
      <c r="B153" s="2">
        <v>42064</v>
      </c>
      <c r="C153" s="1">
        <v>56.524545454545397</v>
      </c>
      <c r="E153">
        <f t="shared" si="20"/>
        <v>58.937063395277377</v>
      </c>
      <c r="F153">
        <f t="shared" si="21"/>
        <v>64.184058957134667</v>
      </c>
      <c r="G153">
        <f t="shared" si="18"/>
        <v>53.690067833420088</v>
      </c>
      <c r="H153">
        <f t="shared" si="22"/>
        <v>-4.5870264505465466</v>
      </c>
      <c r="I153">
        <f t="shared" si="19"/>
        <v>49.103041382873542</v>
      </c>
      <c r="J153">
        <f t="shared" si="23"/>
        <v>7.4215040716718548</v>
      </c>
      <c r="K153">
        <f t="shared" si="24"/>
        <v>55.078722685841917</v>
      </c>
      <c r="L153">
        <f t="shared" si="25"/>
        <v>7.4215040716718548</v>
      </c>
      <c r="M153">
        <f t="shared" si="26"/>
        <v>0.13129701463304838</v>
      </c>
    </row>
    <row r="154" spans="2:13" ht="12.75" x14ac:dyDescent="0.2">
      <c r="B154" s="2">
        <v>42095</v>
      </c>
      <c r="C154" s="1">
        <v>59.826363636363602</v>
      </c>
      <c r="E154">
        <f t="shared" si="20"/>
        <v>59.351872689297124</v>
      </c>
      <c r="F154">
        <f t="shared" si="21"/>
        <v>61.930111772902109</v>
      </c>
      <c r="G154">
        <f t="shared" si="18"/>
        <v>56.77363360569214</v>
      </c>
      <c r="H154">
        <f t="shared" si="22"/>
        <v>-2.2539471842325551</v>
      </c>
      <c r="I154">
        <f t="shared" si="19"/>
        <v>54.519686421459582</v>
      </c>
      <c r="J154">
        <f t="shared" si="23"/>
        <v>5.3066772149040204</v>
      </c>
      <c r="K154">
        <f t="shared" si="24"/>
        <v>28.160823063181493</v>
      </c>
      <c r="L154">
        <f t="shared" si="25"/>
        <v>5.3066772149040204</v>
      </c>
      <c r="M154">
        <f t="shared" si="26"/>
        <v>8.870131648246328E-2</v>
      </c>
    </row>
    <row r="155" spans="2:13" ht="12.75" x14ac:dyDescent="0.2">
      <c r="B155" s="2">
        <v>42125</v>
      </c>
      <c r="C155" s="1">
        <v>65.193809523809506</v>
      </c>
      <c r="E155">
        <f t="shared" si="20"/>
        <v>62.076812571324112</v>
      </c>
      <c r="F155">
        <f t="shared" si="21"/>
        <v>61.998539567941535</v>
      </c>
      <c r="G155">
        <f t="shared" si="18"/>
        <v>62.155085574706689</v>
      </c>
      <c r="H155">
        <f t="shared" si="22"/>
        <v>6.842779503943594E-2</v>
      </c>
      <c r="I155">
        <f t="shared" si="19"/>
        <v>62.223513369746122</v>
      </c>
      <c r="J155">
        <f t="shared" si="23"/>
        <v>2.9702961540633837</v>
      </c>
      <c r="K155">
        <f t="shared" si="24"/>
        <v>8.8226592428437289</v>
      </c>
      <c r="L155">
        <f t="shared" si="25"/>
        <v>2.9702961540633837</v>
      </c>
      <c r="M155">
        <f t="shared" si="26"/>
        <v>4.5561015313556705E-2</v>
      </c>
    </row>
    <row r="156" spans="2:13" ht="12.75" x14ac:dyDescent="0.2">
      <c r="B156" s="2">
        <v>42156</v>
      </c>
      <c r="C156" s="1">
        <v>62.62</v>
      </c>
      <c r="E156">
        <f t="shared" si="20"/>
        <v>62.330179413476586</v>
      </c>
      <c r="F156">
        <f t="shared" si="21"/>
        <v>62.15323118258361</v>
      </c>
      <c r="G156">
        <f t="shared" si="18"/>
        <v>62.507127644369561</v>
      </c>
      <c r="H156">
        <f t="shared" si="22"/>
        <v>0.15469161464207301</v>
      </c>
      <c r="I156">
        <f t="shared" si="19"/>
        <v>62.661819259011637</v>
      </c>
      <c r="J156">
        <f t="shared" si="23"/>
        <v>-4.1819259011639076E-2</v>
      </c>
      <c r="K156">
        <f t="shared" si="24"/>
        <v>1.7488504242825561E-3</v>
      </c>
      <c r="L156">
        <f t="shared" si="25"/>
        <v>4.1819259011639076E-2</v>
      </c>
      <c r="M156">
        <f t="shared" si="26"/>
        <v>6.6782591842285332E-4</v>
      </c>
    </row>
    <row r="157" spans="2:13" ht="12.75" x14ac:dyDescent="0.2">
      <c r="B157" s="2">
        <v>42186</v>
      </c>
      <c r="C157" s="1">
        <v>56.829565217391298</v>
      </c>
      <c r="E157">
        <f t="shared" si="20"/>
        <v>59.764447632535877</v>
      </c>
      <c r="F157">
        <f t="shared" si="21"/>
        <v>61.038995998354949</v>
      </c>
      <c r="G157">
        <f t="shared" si="18"/>
        <v>58.489899266716805</v>
      </c>
      <c r="H157">
        <f t="shared" si="22"/>
        <v>-1.1142351842286489</v>
      </c>
      <c r="I157">
        <f t="shared" si="19"/>
        <v>57.375664082488157</v>
      </c>
      <c r="J157">
        <f t="shared" si="23"/>
        <v>-0.54609886509685879</v>
      </c>
      <c r="K157">
        <f t="shared" si="24"/>
        <v>0.29822397046007715</v>
      </c>
      <c r="L157">
        <f t="shared" si="25"/>
        <v>0.54609886509685879</v>
      </c>
      <c r="M157">
        <f t="shared" si="26"/>
        <v>9.6094148003394997E-3</v>
      </c>
    </row>
    <row r="158" spans="2:13" ht="12.75" x14ac:dyDescent="0.2">
      <c r="B158" s="2">
        <v>42217</v>
      </c>
      <c r="C158" s="1">
        <v>47.533809523809502</v>
      </c>
      <c r="E158">
        <f t="shared" si="20"/>
        <v>54.059532548857234</v>
      </c>
      <c r="F158">
        <f t="shared" si="21"/>
        <v>57.783462970964152</v>
      </c>
      <c r="G158">
        <f t="shared" si="18"/>
        <v>50.335602126750317</v>
      </c>
      <c r="H158">
        <f t="shared" si="22"/>
        <v>-3.2555330273908081</v>
      </c>
      <c r="I158">
        <f t="shared" si="19"/>
        <v>47.080069099359505</v>
      </c>
      <c r="J158">
        <f t="shared" si="23"/>
        <v>0.45374042444999674</v>
      </c>
      <c r="K158">
        <f t="shared" si="24"/>
        <v>0.20588037278006319</v>
      </c>
      <c r="L158">
        <f t="shared" si="25"/>
        <v>0.45374042444999674</v>
      </c>
      <c r="M158">
        <f t="shared" si="26"/>
        <v>9.5456356011760415E-3</v>
      </c>
    </row>
    <row r="159" spans="2:13" ht="12.75" x14ac:dyDescent="0.2">
      <c r="B159" s="2">
        <v>42248</v>
      </c>
      <c r="C159" s="1">
        <v>48.030454545454504</v>
      </c>
      <c r="E159">
        <f t="shared" si="20"/>
        <v>51.247301679419053</v>
      </c>
      <c r="F159">
        <f t="shared" si="21"/>
        <v>54.73470584071373</v>
      </c>
      <c r="G159">
        <f t="shared" si="18"/>
        <v>47.759897518124376</v>
      </c>
      <c r="H159">
        <f t="shared" si="22"/>
        <v>-3.0487571302504306</v>
      </c>
      <c r="I159">
        <f t="shared" si="19"/>
        <v>44.711140387873947</v>
      </c>
      <c r="J159">
        <f t="shared" si="23"/>
        <v>3.3193141575805569</v>
      </c>
      <c r="K159">
        <f t="shared" si="24"/>
        <v>11.017846476714722</v>
      </c>
      <c r="L159">
        <f t="shared" si="25"/>
        <v>3.3193141575805569</v>
      </c>
      <c r="M159">
        <f t="shared" si="26"/>
        <v>6.9108531014197727E-2</v>
      </c>
    </row>
    <row r="160" spans="2:13" ht="12.75" x14ac:dyDescent="0.2">
      <c r="B160" s="2">
        <v>42278</v>
      </c>
      <c r="C160" s="1">
        <v>48.906363636363601</v>
      </c>
      <c r="E160">
        <f t="shared" si="20"/>
        <v>50.155383773495913</v>
      </c>
      <c r="F160">
        <f t="shared" si="21"/>
        <v>52.598705797048481</v>
      </c>
      <c r="G160">
        <f t="shared" si="18"/>
        <v>47.712061749943345</v>
      </c>
      <c r="H160">
        <f t="shared" si="22"/>
        <v>-2.1360000436652498</v>
      </c>
      <c r="I160">
        <f t="shared" si="19"/>
        <v>45.576061706278097</v>
      </c>
      <c r="J160">
        <f t="shared" si="23"/>
        <v>3.3303019300855041</v>
      </c>
      <c r="K160">
        <f t="shared" si="24"/>
        <v>11.090910945531235</v>
      </c>
      <c r="L160">
        <f t="shared" si="25"/>
        <v>3.3303019300855041</v>
      </c>
      <c r="M160">
        <f t="shared" si="26"/>
        <v>6.8095472295742462E-2</v>
      </c>
    </row>
    <row r="161" spans="2:13" ht="12.75" x14ac:dyDescent="0.2">
      <c r="B161" s="2">
        <v>42309</v>
      </c>
      <c r="C161" s="1">
        <v>45.095238095238102</v>
      </c>
      <c r="E161">
        <f t="shared" si="20"/>
        <v>47.795106153564731</v>
      </c>
      <c r="F161">
        <f t="shared" si="21"/>
        <v>50.358092689338967</v>
      </c>
      <c r="G161">
        <f t="shared" si="18"/>
        <v>45.232119617790495</v>
      </c>
      <c r="H161">
        <f t="shared" si="22"/>
        <v>-2.2406131077095126</v>
      </c>
      <c r="I161">
        <f t="shared" si="19"/>
        <v>42.991506510080981</v>
      </c>
      <c r="J161">
        <f t="shared" si="23"/>
        <v>2.1037315851571208</v>
      </c>
      <c r="K161">
        <f t="shared" si="24"/>
        <v>4.4256865823876925</v>
      </c>
      <c r="L161">
        <f t="shared" si="25"/>
        <v>2.1037315851571208</v>
      </c>
      <c r="M161">
        <f t="shared" si="26"/>
        <v>4.6650858804962544E-2</v>
      </c>
    </row>
    <row r="162" spans="2:13" ht="12.75" x14ac:dyDescent="0.2">
      <c r="B162" s="2">
        <v>42339</v>
      </c>
      <c r="C162" s="1">
        <v>38.525217391304302</v>
      </c>
      <c r="E162">
        <f t="shared" si="20"/>
        <v>43.471216610458157</v>
      </c>
      <c r="F162">
        <f t="shared" si="21"/>
        <v>47.145746540874264</v>
      </c>
      <c r="G162">
        <f t="shared" si="18"/>
        <v>39.79668668004205</v>
      </c>
      <c r="H162">
        <f t="shared" si="22"/>
        <v>-3.2123461484647002</v>
      </c>
      <c r="I162">
        <f t="shared" si="19"/>
        <v>36.584340531577354</v>
      </c>
      <c r="J162">
        <f t="shared" si="23"/>
        <v>1.9408768597269486</v>
      </c>
      <c r="K162">
        <f t="shared" si="24"/>
        <v>3.7670029846235411</v>
      </c>
      <c r="L162">
        <f t="shared" si="25"/>
        <v>1.9408768597269486</v>
      </c>
      <c r="M162">
        <f t="shared" si="26"/>
        <v>5.0379387610283349E-2</v>
      </c>
    </row>
    <row r="163" spans="2:13" ht="12.75" x14ac:dyDescent="0.2">
      <c r="B163" s="2">
        <v>42370</v>
      </c>
      <c r="C163" s="1">
        <v>32.045238095238098</v>
      </c>
      <c r="E163">
        <f t="shared" si="20"/>
        <v>38.141630647910617</v>
      </c>
      <c r="F163">
        <f t="shared" si="21"/>
        <v>42.945825317114988</v>
      </c>
      <c r="G163">
        <f t="shared" si="18"/>
        <v>33.337435978706246</v>
      </c>
      <c r="H163">
        <f t="shared" si="22"/>
        <v>-4.1999212237592776</v>
      </c>
      <c r="I163">
        <f t="shared" si="19"/>
        <v>29.13751475494697</v>
      </c>
      <c r="J163">
        <f t="shared" si="23"/>
        <v>2.9077233402911276</v>
      </c>
      <c r="K163">
        <f t="shared" si="24"/>
        <v>8.454855023673792</v>
      </c>
      <c r="L163">
        <f t="shared" si="25"/>
        <v>2.9077233402911276</v>
      </c>
      <c r="M163">
        <f t="shared" si="26"/>
        <v>9.0738078826233262E-2</v>
      </c>
    </row>
    <row r="164" spans="2:13" ht="12.75" x14ac:dyDescent="0.2">
      <c r="B164" s="2">
        <v>42401</v>
      </c>
      <c r="C164" s="1">
        <v>33.762380952380902</v>
      </c>
      <c r="E164">
        <f t="shared" si="20"/>
        <v>36.098953281355442</v>
      </c>
      <c r="F164">
        <f t="shared" si="21"/>
        <v>39.752138838487774</v>
      </c>
      <c r="G164">
        <f t="shared" si="18"/>
        <v>32.44576772422311</v>
      </c>
      <c r="H164">
        <f t="shared" si="22"/>
        <v>-3.1936864786272139</v>
      </c>
      <c r="I164">
        <f t="shared" si="19"/>
        <v>29.252081245595896</v>
      </c>
      <c r="J164">
        <f t="shared" si="23"/>
        <v>4.5102997067850055</v>
      </c>
      <c r="K164">
        <f t="shared" si="24"/>
        <v>20.342803445024906</v>
      </c>
      <c r="L164">
        <f t="shared" si="25"/>
        <v>4.5102997067850055</v>
      </c>
      <c r="M164">
        <f t="shared" si="26"/>
        <v>0.13358950345197565</v>
      </c>
    </row>
    <row r="165" spans="2:13" ht="12.75" x14ac:dyDescent="0.2">
      <c r="B165" s="2">
        <v>42430</v>
      </c>
      <c r="C165" s="1">
        <v>39.792173913043399</v>
      </c>
      <c r="E165">
        <f t="shared" si="20"/>
        <v>37.821636096574792</v>
      </c>
      <c r="F165">
        <f t="shared" si="21"/>
        <v>38.851666261871799</v>
      </c>
      <c r="G165">
        <f t="shared" si="18"/>
        <v>36.791605931277786</v>
      </c>
      <c r="H165">
        <f t="shared" si="22"/>
        <v>-0.90047257661597124</v>
      </c>
      <c r="I165">
        <f t="shared" si="19"/>
        <v>35.891133354661818</v>
      </c>
      <c r="J165">
        <f t="shared" si="23"/>
        <v>3.901040558381581</v>
      </c>
      <c r="K165">
        <f t="shared" si="24"/>
        <v>15.218117438138078</v>
      </c>
      <c r="L165">
        <f t="shared" si="25"/>
        <v>3.901040558381581</v>
      </c>
      <c r="M165">
        <f t="shared" si="26"/>
        <v>9.8035371651380585E-2</v>
      </c>
    </row>
    <row r="166" spans="2:13" ht="12.75" x14ac:dyDescent="0.2">
      <c r="B166" s="2">
        <v>42461</v>
      </c>
      <c r="C166" s="1">
        <v>43.330476190476098</v>
      </c>
      <c r="E166">
        <f t="shared" si="20"/>
        <v>40.391204803120708</v>
      </c>
      <c r="F166">
        <f t="shared" si="21"/>
        <v>39.569775698828238</v>
      </c>
      <c r="G166">
        <f t="shared" si="18"/>
        <v>41.212633907413178</v>
      </c>
      <c r="H166">
        <f t="shared" si="22"/>
        <v>0.71810943695644747</v>
      </c>
      <c r="I166">
        <f t="shared" si="19"/>
        <v>41.930743344369624</v>
      </c>
      <c r="J166">
        <f t="shared" si="23"/>
        <v>1.399732846106474</v>
      </c>
      <c r="K166">
        <f t="shared" si="24"/>
        <v>1.9592520404693299</v>
      </c>
      <c r="L166">
        <f t="shared" si="25"/>
        <v>1.399732846106474</v>
      </c>
      <c r="M166">
        <f t="shared" si="26"/>
        <v>3.2303657129300847E-2</v>
      </c>
    </row>
    <row r="167" spans="2:13" ht="12.75" x14ac:dyDescent="0.2">
      <c r="B167" s="2">
        <v>42491</v>
      </c>
      <c r="C167" s="1">
        <v>47.734999999999999</v>
      </c>
      <c r="E167">
        <f t="shared" si="20"/>
        <v>43.816678406189013</v>
      </c>
      <c r="F167">
        <f t="shared" si="21"/>
        <v>41.550720527606359</v>
      </c>
      <c r="G167">
        <f t="shared" si="18"/>
        <v>46.082636284771667</v>
      </c>
      <c r="H167">
        <f t="shared" si="22"/>
        <v>1.9809448287781255</v>
      </c>
      <c r="I167">
        <f t="shared" si="19"/>
        <v>48.063581113549795</v>
      </c>
      <c r="J167">
        <f t="shared" si="23"/>
        <v>-0.32858111354979513</v>
      </c>
      <c r="K167">
        <f t="shared" si="24"/>
        <v>0.10796554818162336</v>
      </c>
      <c r="L167">
        <f t="shared" si="25"/>
        <v>0.32858111354979513</v>
      </c>
      <c r="M167">
        <f t="shared" si="26"/>
        <v>6.8834422027819241E-3</v>
      </c>
    </row>
    <row r="168" spans="2:13" ht="12.75" x14ac:dyDescent="0.2">
      <c r="B168" s="2">
        <v>42522</v>
      </c>
      <c r="C168" s="1">
        <v>49.877272727272697</v>
      </c>
      <c r="E168">
        <f t="shared" si="20"/>
        <v>46.643609891778354</v>
      </c>
      <c r="F168">
        <f t="shared" si="21"/>
        <v>43.926271262971625</v>
      </c>
      <c r="G168">
        <f t="shared" si="18"/>
        <v>49.360948520585083</v>
      </c>
      <c r="H168">
        <f t="shared" si="22"/>
        <v>2.3755507353652621</v>
      </c>
      <c r="I168">
        <f t="shared" si="19"/>
        <v>51.736499255950342</v>
      </c>
      <c r="J168">
        <f t="shared" si="23"/>
        <v>-1.8592265286776453</v>
      </c>
      <c r="K168">
        <f t="shared" si="24"/>
        <v>3.456723284938727</v>
      </c>
      <c r="L168">
        <f t="shared" si="25"/>
        <v>1.8592265286776453</v>
      </c>
      <c r="M168">
        <f t="shared" si="26"/>
        <v>3.7276026274408292E-2</v>
      </c>
    </row>
    <row r="169" spans="2:13" ht="12.75" x14ac:dyDescent="0.2">
      <c r="B169" s="2">
        <v>42552</v>
      </c>
      <c r="C169" s="1">
        <v>46.598571428571397</v>
      </c>
      <c r="E169">
        <f t="shared" si="20"/>
        <v>46.622601943884632</v>
      </c>
      <c r="F169">
        <f t="shared" si="21"/>
        <v>45.183960145218172</v>
      </c>
      <c r="G169">
        <f t="shared" si="18"/>
        <v>48.061243742551092</v>
      </c>
      <c r="H169">
        <f t="shared" si="22"/>
        <v>1.2576888822465513</v>
      </c>
      <c r="I169">
        <f t="shared" si="19"/>
        <v>49.31893262479764</v>
      </c>
      <c r="J169">
        <f t="shared" si="23"/>
        <v>-2.7203611962262428</v>
      </c>
      <c r="K169">
        <f t="shared" si="24"/>
        <v>7.4003650379334749</v>
      </c>
      <c r="L169">
        <f t="shared" si="25"/>
        <v>2.7203611962262428</v>
      </c>
      <c r="M169">
        <f t="shared" si="26"/>
        <v>5.8378639362284906E-2</v>
      </c>
    </row>
    <row r="170" spans="2:13" ht="12.75" x14ac:dyDescent="0.2">
      <c r="B170" s="2">
        <v>42583</v>
      </c>
      <c r="C170" s="1">
        <v>47.052173913043397</v>
      </c>
      <c r="E170">
        <f t="shared" si="20"/>
        <v>46.822973468623871</v>
      </c>
      <c r="F170">
        <f t="shared" si="21"/>
        <v>45.948469057012076</v>
      </c>
      <c r="G170">
        <f t="shared" si="18"/>
        <v>47.697477880235667</v>
      </c>
      <c r="H170">
        <f t="shared" si="22"/>
        <v>0.7645089117939019</v>
      </c>
      <c r="I170">
        <f t="shared" si="19"/>
        <v>48.46198679202957</v>
      </c>
      <c r="J170">
        <f t="shared" si="23"/>
        <v>-1.4098128789861732</v>
      </c>
      <c r="K170">
        <f t="shared" si="24"/>
        <v>1.9875723537552823</v>
      </c>
      <c r="L170">
        <f t="shared" si="25"/>
        <v>1.4098128789861732</v>
      </c>
      <c r="M170">
        <f t="shared" si="26"/>
        <v>2.9962757546370393E-2</v>
      </c>
    </row>
    <row r="171" spans="2:13" ht="12.75" x14ac:dyDescent="0.2">
      <c r="B171" s="2">
        <v>42614</v>
      </c>
      <c r="C171" s="1">
        <v>47.376818181818102</v>
      </c>
      <c r="E171">
        <f t="shared" si="20"/>
        <v>47.081311343576047</v>
      </c>
      <c r="F171">
        <f t="shared" si="21"/>
        <v>46.476877222685516</v>
      </c>
      <c r="G171">
        <f t="shared" si="18"/>
        <v>47.685745464466578</v>
      </c>
      <c r="H171">
        <f t="shared" si="22"/>
        <v>0.52840816567344429</v>
      </c>
      <c r="I171">
        <f t="shared" si="19"/>
        <v>48.214153630140025</v>
      </c>
      <c r="J171">
        <f t="shared" si="23"/>
        <v>-0.83733544832192308</v>
      </c>
      <c r="K171">
        <f t="shared" si="24"/>
        <v>0.70113065301647592</v>
      </c>
      <c r="L171">
        <f t="shared" si="25"/>
        <v>0.83733544832192308</v>
      </c>
      <c r="M171">
        <f t="shared" si="26"/>
        <v>1.7673948577730133E-2</v>
      </c>
    </row>
    <row r="172" spans="2:13" ht="12.75" x14ac:dyDescent="0.2">
      <c r="B172" s="2">
        <v>42644</v>
      </c>
      <c r="C172" s="1">
        <v>51.413809523809498</v>
      </c>
      <c r="E172">
        <f t="shared" si="20"/>
        <v>49.10218171834326</v>
      </c>
      <c r="F172">
        <f t="shared" si="21"/>
        <v>47.701436324458072</v>
      </c>
      <c r="G172">
        <f t="shared" si="18"/>
        <v>50.502927112228448</v>
      </c>
      <c r="H172">
        <f t="shared" si="22"/>
        <v>1.2245591017725652</v>
      </c>
      <c r="I172">
        <f t="shared" si="19"/>
        <v>51.727486214001011</v>
      </c>
      <c r="J172">
        <f t="shared" si="23"/>
        <v>-0.31367669019151379</v>
      </c>
      <c r="K172">
        <f t="shared" si="24"/>
        <v>9.8393065969502924E-2</v>
      </c>
      <c r="L172">
        <f t="shared" si="25"/>
        <v>0.31367669019151379</v>
      </c>
      <c r="M172">
        <f t="shared" si="26"/>
        <v>6.1010201947056955E-3</v>
      </c>
    </row>
    <row r="173" spans="2:13" ht="12.75" x14ac:dyDescent="0.2">
      <c r="B173" s="2">
        <v>42675</v>
      </c>
      <c r="C173" s="1">
        <v>46.942272727272702</v>
      </c>
      <c r="E173">
        <f t="shared" si="20"/>
        <v>48.094703835914551</v>
      </c>
      <c r="F173">
        <f t="shared" si="21"/>
        <v>47.884873830995701</v>
      </c>
      <c r="G173">
        <f t="shared" si="18"/>
        <v>48.3045338408334</v>
      </c>
      <c r="H173">
        <f t="shared" si="22"/>
        <v>0.18343750653762284</v>
      </c>
      <c r="I173">
        <f t="shared" si="19"/>
        <v>48.487971347371023</v>
      </c>
      <c r="J173">
        <f t="shared" si="23"/>
        <v>-1.5456986200983209</v>
      </c>
      <c r="K173">
        <f t="shared" si="24"/>
        <v>2.3891842241738535</v>
      </c>
      <c r="L173">
        <f t="shared" si="25"/>
        <v>1.5456986200983209</v>
      </c>
      <c r="M173">
        <f t="shared" si="26"/>
        <v>3.2927647731898053E-2</v>
      </c>
    </row>
    <row r="174" spans="2:13" ht="12.75" x14ac:dyDescent="0.2">
      <c r="B174" s="2">
        <v>42705</v>
      </c>
      <c r="C174" s="1">
        <v>55.022727272727202</v>
      </c>
      <c r="E174">
        <f t="shared" si="20"/>
        <v>51.326242947234675</v>
      </c>
      <c r="F174">
        <f t="shared" si="21"/>
        <v>49.490081867175753</v>
      </c>
      <c r="G174">
        <f t="shared" si="18"/>
        <v>53.162404027293597</v>
      </c>
      <c r="H174">
        <f t="shared" si="22"/>
        <v>1.605208036180052</v>
      </c>
      <c r="I174">
        <f t="shared" si="19"/>
        <v>54.767612063473649</v>
      </c>
      <c r="J174">
        <f t="shared" si="23"/>
        <v>0.25511520925355313</v>
      </c>
      <c r="K174">
        <f t="shared" si="24"/>
        <v>6.5083769992484206E-2</v>
      </c>
      <c r="L174">
        <f t="shared" si="25"/>
        <v>0.25511520925355313</v>
      </c>
      <c r="M174">
        <f t="shared" si="26"/>
        <v>4.6365424234433511E-3</v>
      </c>
    </row>
    <row r="175" spans="2:13" ht="12.75" x14ac:dyDescent="0.2">
      <c r="B175" s="2">
        <v>42736</v>
      </c>
      <c r="C175" s="1">
        <v>55.710909090908999</v>
      </c>
      <c r="E175">
        <f t="shared" si="20"/>
        <v>53.37144678677069</v>
      </c>
      <c r="F175">
        <f t="shared" si="21"/>
        <v>51.3005235692534</v>
      </c>
      <c r="G175">
        <f t="shared" si="18"/>
        <v>55.44237000428798</v>
      </c>
      <c r="H175">
        <f t="shared" si="22"/>
        <v>1.8104417020776464</v>
      </c>
      <c r="I175">
        <f t="shared" si="19"/>
        <v>57.252811706365627</v>
      </c>
      <c r="J175">
        <f t="shared" si="23"/>
        <v>-1.5419026154566282</v>
      </c>
      <c r="K175">
        <f t="shared" si="24"/>
        <v>2.3774636755519909</v>
      </c>
      <c r="L175">
        <f t="shared" si="25"/>
        <v>1.5419026154566282</v>
      </c>
      <c r="M175">
        <f t="shared" si="26"/>
        <v>2.7676852534223653E-2</v>
      </c>
    </row>
    <row r="176" spans="2:13" ht="12.75" x14ac:dyDescent="0.2">
      <c r="B176" s="2">
        <v>42767</v>
      </c>
      <c r="C176" s="1">
        <v>56.095999999999997</v>
      </c>
      <c r="E176">
        <f t="shared" si="20"/>
        <v>54.64229991677599</v>
      </c>
      <c r="F176">
        <f t="shared" si="21"/>
        <v>52.859277096402558</v>
      </c>
      <c r="G176">
        <f t="shared" si="18"/>
        <v>56.425322737149422</v>
      </c>
      <c r="H176">
        <f t="shared" si="22"/>
        <v>1.5587535271491597</v>
      </c>
      <c r="I176">
        <f t="shared" si="19"/>
        <v>57.984076264298579</v>
      </c>
      <c r="J176">
        <f t="shared" si="23"/>
        <v>-1.8880762642985829</v>
      </c>
      <c r="K176">
        <f t="shared" si="24"/>
        <v>3.5648319798076922</v>
      </c>
      <c r="L176">
        <f t="shared" si="25"/>
        <v>1.8880762642985829</v>
      </c>
      <c r="M176">
        <f t="shared" si="26"/>
        <v>3.365794823692568E-2</v>
      </c>
    </row>
    <row r="177" spans="2:13" ht="12.75" x14ac:dyDescent="0.2">
      <c r="B177" s="2">
        <v>42795</v>
      </c>
      <c r="C177" s="1">
        <v>52.655217391304298</v>
      </c>
      <c r="E177">
        <f t="shared" si="20"/>
        <v>53.715436005727099</v>
      </c>
      <c r="F177">
        <f t="shared" si="21"/>
        <v>53.258627795230495</v>
      </c>
      <c r="G177">
        <f t="shared" si="18"/>
        <v>54.172244216223703</v>
      </c>
      <c r="H177">
        <f t="shared" si="22"/>
        <v>0.39935069882793006</v>
      </c>
      <c r="I177">
        <f t="shared" si="19"/>
        <v>54.571594915051634</v>
      </c>
      <c r="J177">
        <f t="shared" si="23"/>
        <v>-1.9163775237473359</v>
      </c>
      <c r="K177">
        <f t="shared" si="24"/>
        <v>3.672502813523971</v>
      </c>
      <c r="L177">
        <f t="shared" si="25"/>
        <v>1.9163775237473359</v>
      </c>
      <c r="M177">
        <f t="shared" si="26"/>
        <v>3.6394826926757967E-2</v>
      </c>
    </row>
    <row r="178" spans="2:13" ht="12.75" x14ac:dyDescent="0.2">
      <c r="B178" s="2">
        <v>42826</v>
      </c>
      <c r="C178" s="1">
        <v>53.978000000000002</v>
      </c>
      <c r="E178">
        <f t="shared" si="20"/>
        <v>53.837907562651807</v>
      </c>
      <c r="F178">
        <f t="shared" si="21"/>
        <v>53.528829713842889</v>
      </c>
      <c r="G178">
        <f t="shared" si="18"/>
        <v>54.146985411460726</v>
      </c>
      <c r="H178">
        <f t="shared" si="22"/>
        <v>0.27020191861239012</v>
      </c>
      <c r="I178">
        <f t="shared" si="19"/>
        <v>54.417187330073119</v>
      </c>
      <c r="J178">
        <f t="shared" si="23"/>
        <v>-0.43918733007311772</v>
      </c>
      <c r="K178">
        <f t="shared" si="24"/>
        <v>0.19288551089675365</v>
      </c>
      <c r="L178">
        <f t="shared" si="25"/>
        <v>0.43918733007311772</v>
      </c>
      <c r="M178">
        <f t="shared" si="26"/>
        <v>8.1364135402037449E-3</v>
      </c>
    </row>
    <row r="179" spans="2:13" ht="12.75" x14ac:dyDescent="0.2">
      <c r="B179" s="2">
        <v>42856</v>
      </c>
      <c r="C179" s="1">
        <v>51.374347826086897</v>
      </c>
      <c r="E179">
        <f t="shared" si="20"/>
        <v>52.688793430115666</v>
      </c>
      <c r="F179">
        <f t="shared" si="21"/>
        <v>53.136999326640648</v>
      </c>
      <c r="G179">
        <f t="shared" si="18"/>
        <v>52.240587533590684</v>
      </c>
      <c r="H179">
        <f t="shared" si="22"/>
        <v>-0.39183038720224839</v>
      </c>
      <c r="I179">
        <f t="shared" si="19"/>
        <v>51.848757146388436</v>
      </c>
      <c r="J179">
        <f t="shared" si="23"/>
        <v>-0.47440932030153959</v>
      </c>
      <c r="K179">
        <f t="shared" si="24"/>
        <v>0.22506420318896878</v>
      </c>
      <c r="L179">
        <f t="shared" si="25"/>
        <v>0.47440932030153959</v>
      </c>
      <c r="M179">
        <f t="shared" si="26"/>
        <v>9.2343619019265438E-3</v>
      </c>
    </row>
    <row r="180" spans="2:13" ht="12.75" x14ac:dyDescent="0.2">
      <c r="B180" s="2">
        <v>42887</v>
      </c>
      <c r="C180" s="1">
        <v>47.652727272727198</v>
      </c>
      <c r="E180">
        <f t="shared" si="20"/>
        <v>50.339747572631715</v>
      </c>
      <c r="F180">
        <f t="shared" si="21"/>
        <v>51.832236354960024</v>
      </c>
      <c r="G180">
        <f t="shared" si="18"/>
        <v>48.847258790303407</v>
      </c>
      <c r="H180">
        <f t="shared" si="22"/>
        <v>-1.3047629716806233</v>
      </c>
      <c r="I180">
        <f t="shared" si="19"/>
        <v>47.542495818622783</v>
      </c>
      <c r="J180">
        <f t="shared" si="23"/>
        <v>0.11023145410441515</v>
      </c>
      <c r="K180">
        <f t="shared" si="24"/>
        <v>1.2150973473973783E-2</v>
      </c>
      <c r="L180">
        <f t="shared" si="25"/>
        <v>0.11023145410441515</v>
      </c>
      <c r="M180">
        <f t="shared" si="26"/>
        <v>2.3132244556231993E-3</v>
      </c>
    </row>
    <row r="181" spans="2:13" ht="12.75" x14ac:dyDescent="0.2">
      <c r="B181" s="2">
        <v>42917</v>
      </c>
      <c r="C181" s="1">
        <v>49.253333333333302</v>
      </c>
      <c r="E181">
        <f t="shared" si="20"/>
        <v>49.832995518830479</v>
      </c>
      <c r="F181">
        <f t="shared" si="21"/>
        <v>50.899701265576255</v>
      </c>
      <c r="G181">
        <f t="shared" si="18"/>
        <v>48.766289772084704</v>
      </c>
      <c r="H181">
        <f t="shared" si="22"/>
        <v>-0.93253508938377849</v>
      </c>
      <c r="I181">
        <f t="shared" si="19"/>
        <v>47.833754682700928</v>
      </c>
      <c r="J181">
        <f t="shared" si="23"/>
        <v>1.4195786506323742</v>
      </c>
      <c r="K181">
        <f t="shared" si="24"/>
        <v>2.0152035453312322</v>
      </c>
      <c r="L181">
        <f t="shared" si="25"/>
        <v>1.4195786506323742</v>
      </c>
      <c r="M181">
        <f t="shared" si="26"/>
        <v>2.8821981266223099E-2</v>
      </c>
    </row>
    <row r="182" spans="2:13" ht="12.75" x14ac:dyDescent="0.2">
      <c r="B182" s="2">
        <v>42948</v>
      </c>
      <c r="C182" s="1">
        <v>51.9278260869565</v>
      </c>
      <c r="E182">
        <f t="shared" si="20"/>
        <v>50.810117922389011</v>
      </c>
      <c r="F182">
        <f t="shared" si="21"/>
        <v>50.857915599018867</v>
      </c>
      <c r="G182">
        <f t="shared" si="18"/>
        <v>50.762320245759156</v>
      </c>
      <c r="H182">
        <f t="shared" si="22"/>
        <v>-4.1785666557379149E-2</v>
      </c>
      <c r="I182">
        <f t="shared" si="19"/>
        <v>50.720534579201775</v>
      </c>
      <c r="J182">
        <f t="shared" si="23"/>
        <v>1.207291507754725</v>
      </c>
      <c r="K182">
        <f t="shared" si="24"/>
        <v>1.4575527846966774</v>
      </c>
      <c r="L182">
        <f t="shared" si="25"/>
        <v>1.207291507754725</v>
      </c>
      <c r="M182">
        <f t="shared" si="26"/>
        <v>2.3249413632934247E-2</v>
      </c>
    </row>
    <row r="183" spans="2:13" ht="12.75" x14ac:dyDescent="0.2">
      <c r="B183" s="2">
        <v>42979</v>
      </c>
      <c r="C183" s="1">
        <v>55.557619047618999</v>
      </c>
      <c r="E183">
        <f t="shared" si="20"/>
        <v>53.024564179267614</v>
      </c>
      <c r="F183">
        <f t="shared" si="21"/>
        <v>51.868537126416769</v>
      </c>
      <c r="G183">
        <f t="shared" si="18"/>
        <v>54.180591232118459</v>
      </c>
      <c r="H183">
        <f t="shared" si="22"/>
        <v>1.0106215273978965</v>
      </c>
      <c r="I183">
        <f t="shared" si="19"/>
        <v>55.191212759516354</v>
      </c>
      <c r="J183">
        <f t="shared" si="23"/>
        <v>0.36640628810264531</v>
      </c>
      <c r="K183">
        <f t="shared" si="24"/>
        <v>0.13425356796115873</v>
      </c>
      <c r="L183">
        <f t="shared" si="25"/>
        <v>0.36640628810264531</v>
      </c>
      <c r="M183">
        <f t="shared" si="26"/>
        <v>6.595068226170649E-3</v>
      </c>
    </row>
    <row r="184" spans="2:13" ht="12.75" x14ac:dyDescent="0.2">
      <c r="B184" s="2">
        <v>43009</v>
      </c>
      <c r="C184" s="1">
        <v>57.536363636363603</v>
      </c>
      <c r="E184">
        <f t="shared" si="20"/>
        <v>55.129068666155774</v>
      </c>
      <c r="F184">
        <f t="shared" si="21"/>
        <v>53.389394451808116</v>
      </c>
      <c r="G184">
        <f t="shared" si="18"/>
        <v>56.868742880503433</v>
      </c>
      <c r="H184">
        <f t="shared" si="22"/>
        <v>1.5208573253913369</v>
      </c>
      <c r="I184">
        <f t="shared" si="19"/>
        <v>58.389600205894773</v>
      </c>
      <c r="J184">
        <f t="shared" si="23"/>
        <v>-0.85323656953116966</v>
      </c>
      <c r="K184">
        <f t="shared" si="24"/>
        <v>0.72801264358531848</v>
      </c>
      <c r="L184">
        <f t="shared" si="25"/>
        <v>0.85323656953116966</v>
      </c>
      <c r="M184">
        <f t="shared" si="26"/>
        <v>1.4829518509784914E-2</v>
      </c>
    </row>
    <row r="185" spans="2:13" ht="12.75" x14ac:dyDescent="0.2">
      <c r="B185" s="2">
        <v>43040</v>
      </c>
      <c r="C185" s="1">
        <v>62.8363636363636</v>
      </c>
      <c r="E185">
        <f t="shared" si="20"/>
        <v>58.724094775098337</v>
      </c>
      <c r="F185">
        <f t="shared" si="21"/>
        <v>55.8777366029449</v>
      </c>
      <c r="G185">
        <f t="shared" si="18"/>
        <v>61.570452947251773</v>
      </c>
      <c r="H185">
        <f t="shared" si="22"/>
        <v>2.4883421511367856</v>
      </c>
      <c r="I185">
        <f t="shared" si="19"/>
        <v>64.058795098388558</v>
      </c>
      <c r="J185">
        <f t="shared" si="23"/>
        <v>-1.2224314620249572</v>
      </c>
      <c r="K185">
        <f t="shared" si="24"/>
        <v>1.4943386793484745</v>
      </c>
      <c r="L185">
        <f t="shared" si="25"/>
        <v>1.2224314620249572</v>
      </c>
      <c r="M185">
        <f t="shared" si="26"/>
        <v>1.9454204401438857E-2</v>
      </c>
    </row>
    <row r="186" spans="2:13" ht="12.75" x14ac:dyDescent="0.2">
      <c r="B186" s="2">
        <v>43070</v>
      </c>
      <c r="C186" s="1">
        <v>64.064285714285703</v>
      </c>
      <c r="E186">
        <f t="shared" si="20"/>
        <v>61.214997994363529</v>
      </c>
      <c r="F186">
        <f t="shared" si="21"/>
        <v>58.367273350476921</v>
      </c>
      <c r="G186">
        <f t="shared" si="18"/>
        <v>64.062722638250136</v>
      </c>
      <c r="H186">
        <f t="shared" si="22"/>
        <v>2.4895367475320147</v>
      </c>
      <c r="I186">
        <f t="shared" si="19"/>
        <v>66.552259385782151</v>
      </c>
      <c r="J186">
        <f t="shared" si="23"/>
        <v>-2.487973671496448</v>
      </c>
      <c r="K186">
        <f t="shared" si="24"/>
        <v>6.1900129900595156</v>
      </c>
      <c r="L186">
        <f t="shared" si="25"/>
        <v>2.487973671496448</v>
      </c>
      <c r="M186">
        <f t="shared" si="26"/>
        <v>3.8835579664344158E-2</v>
      </c>
    </row>
    <row r="187" spans="2:13" ht="12.75" x14ac:dyDescent="0.2">
      <c r="B187" s="2">
        <v>43101</v>
      </c>
      <c r="C187" s="1">
        <v>68.889130434782601</v>
      </c>
      <c r="E187">
        <f t="shared" si="20"/>
        <v>64.794555620409042</v>
      </c>
      <c r="F187">
        <f t="shared" si="21"/>
        <v>61.36524444919128</v>
      </c>
      <c r="G187">
        <f t="shared" si="18"/>
        <v>68.223866791626804</v>
      </c>
      <c r="H187">
        <f t="shared" si="22"/>
        <v>2.9979710987143524</v>
      </c>
      <c r="I187">
        <f t="shared" si="19"/>
        <v>71.221837890341163</v>
      </c>
      <c r="J187">
        <f t="shared" si="23"/>
        <v>-2.3327074555585625</v>
      </c>
      <c r="K187">
        <f t="shared" si="24"/>
        <v>5.4415240732185026</v>
      </c>
      <c r="L187">
        <f t="shared" si="25"/>
        <v>2.3327074555585625</v>
      </c>
      <c r="M187">
        <f t="shared" si="26"/>
        <v>3.3861763689511784E-2</v>
      </c>
    </row>
    <row r="188" spans="2:13" ht="12.75" x14ac:dyDescent="0.2">
      <c r="B188" s="2">
        <v>43132</v>
      </c>
      <c r="C188" s="1">
        <v>65.6965</v>
      </c>
      <c r="E188">
        <f t="shared" si="20"/>
        <v>65.215262704538731</v>
      </c>
      <c r="F188">
        <f t="shared" si="21"/>
        <v>63.161064669045459</v>
      </c>
      <c r="G188">
        <f t="shared" si="18"/>
        <v>67.269460740032002</v>
      </c>
      <c r="H188">
        <f t="shared" si="22"/>
        <v>1.795820219854166</v>
      </c>
      <c r="I188">
        <f t="shared" si="19"/>
        <v>69.065280959886167</v>
      </c>
      <c r="J188">
        <f t="shared" si="23"/>
        <v>-3.3687809598861662</v>
      </c>
      <c r="K188">
        <f t="shared" si="24"/>
        <v>11.348685155691559</v>
      </c>
      <c r="L188">
        <f t="shared" si="25"/>
        <v>3.3687809598861662</v>
      </c>
      <c r="M188">
        <f t="shared" si="26"/>
        <v>5.1277936570230775E-2</v>
      </c>
    </row>
    <row r="189" spans="2:13" ht="12.75" x14ac:dyDescent="0.2">
      <c r="B189" s="2">
        <v>43160</v>
      </c>
      <c r="C189" s="1">
        <v>66.891818181818095</v>
      </c>
      <c r="E189">
        <f t="shared" si="20"/>
        <v>65.997282951228144</v>
      </c>
      <c r="F189">
        <f t="shared" si="21"/>
        <v>64.484003367320298</v>
      </c>
      <c r="G189">
        <f t="shared" si="18"/>
        <v>67.510562535135989</v>
      </c>
      <c r="H189">
        <f t="shared" si="22"/>
        <v>1.3229386982748426</v>
      </c>
      <c r="I189">
        <f t="shared" si="19"/>
        <v>68.833501233410828</v>
      </c>
      <c r="J189">
        <f t="shared" si="23"/>
        <v>-1.941683051592733</v>
      </c>
      <c r="K189">
        <f t="shared" si="24"/>
        <v>3.770133072842468</v>
      </c>
      <c r="L189">
        <f t="shared" si="25"/>
        <v>1.941683051592733</v>
      </c>
      <c r="M189">
        <f t="shared" si="26"/>
        <v>2.9027212959215138E-2</v>
      </c>
    </row>
    <row r="190" spans="2:13" ht="12.75" x14ac:dyDescent="0.2">
      <c r="B190" s="2">
        <v>43191</v>
      </c>
      <c r="C190" s="1">
        <v>71.932857142857102</v>
      </c>
      <c r="E190">
        <f t="shared" si="20"/>
        <v>68.765899472712647</v>
      </c>
      <c r="F190">
        <f t="shared" si="21"/>
        <v>66.481270677598147</v>
      </c>
      <c r="G190">
        <f t="shared" si="18"/>
        <v>71.050528267827147</v>
      </c>
      <c r="H190">
        <f t="shared" si="22"/>
        <v>1.9972673102778449</v>
      </c>
      <c r="I190">
        <f t="shared" si="19"/>
        <v>73.047795578104996</v>
      </c>
      <c r="J190">
        <f t="shared" si="23"/>
        <v>-1.1149384352478933</v>
      </c>
      <c r="K190">
        <f t="shared" si="24"/>
        <v>1.2430877143930208</v>
      </c>
      <c r="L190">
        <f t="shared" si="25"/>
        <v>1.1149384352478933</v>
      </c>
      <c r="M190">
        <f t="shared" si="26"/>
        <v>1.549971013988294E-2</v>
      </c>
    </row>
    <row r="191" spans="2:13" ht="12.75" x14ac:dyDescent="0.2">
      <c r="B191" s="2">
        <v>43221</v>
      </c>
      <c r="C191" s="1">
        <v>76.934347826086906</v>
      </c>
      <c r="E191">
        <f t="shared" si="20"/>
        <v>72.576028086375587</v>
      </c>
      <c r="F191">
        <f t="shared" si="21"/>
        <v>69.324137350914953</v>
      </c>
      <c r="G191">
        <f t="shared" si="18"/>
        <v>75.827918821836221</v>
      </c>
      <c r="H191">
        <f t="shared" si="22"/>
        <v>2.8428666733167893</v>
      </c>
      <c r="I191">
        <f t="shared" si="19"/>
        <v>78.670785495153012</v>
      </c>
      <c r="J191">
        <f t="shared" si="23"/>
        <v>-1.7364376690661061</v>
      </c>
      <c r="K191">
        <f t="shared" si="24"/>
        <v>3.015215778551732</v>
      </c>
      <c r="L191">
        <f t="shared" si="25"/>
        <v>1.7364376690661061</v>
      </c>
      <c r="M191">
        <f t="shared" si="26"/>
        <v>2.2570382646141241E-2</v>
      </c>
    </row>
    <row r="192" spans="2:13" ht="12.75" x14ac:dyDescent="0.2">
      <c r="B192" s="2">
        <v>43252</v>
      </c>
      <c r="C192" s="1">
        <v>75.802857142857107</v>
      </c>
      <c r="E192">
        <f t="shared" si="20"/>
        <v>74.081165070490869</v>
      </c>
      <c r="F192">
        <f t="shared" si="21"/>
        <v>71.543027236269609</v>
      </c>
      <c r="G192">
        <f t="shared" si="18"/>
        <v>76.619302904712129</v>
      </c>
      <c r="H192">
        <f t="shared" si="22"/>
        <v>2.2188898853546433</v>
      </c>
      <c r="I192">
        <f t="shared" si="19"/>
        <v>78.83819279006677</v>
      </c>
      <c r="J192">
        <f t="shared" si="23"/>
        <v>-3.0353356472096635</v>
      </c>
      <c r="K192">
        <f t="shared" si="24"/>
        <v>9.2132624912217072</v>
      </c>
      <c r="L192">
        <f t="shared" si="25"/>
        <v>3.0353356472096635</v>
      </c>
      <c r="M192">
        <f t="shared" si="26"/>
        <v>4.0042496570931466E-2</v>
      </c>
    </row>
    <row r="193" spans="2:13" ht="12.75" x14ac:dyDescent="0.2">
      <c r="B193" s="2">
        <v>43282</v>
      </c>
      <c r="C193" s="1">
        <v>75.2290909090909</v>
      </c>
      <c r="E193">
        <f t="shared" si="20"/>
        <v>74.616608877539761</v>
      </c>
      <c r="F193">
        <f t="shared" si="21"/>
        <v>72.976682791304739</v>
      </c>
      <c r="G193">
        <f t="shared" si="18"/>
        <v>76.256534963774783</v>
      </c>
      <c r="H193">
        <f t="shared" si="22"/>
        <v>1.4336555550351195</v>
      </c>
      <c r="I193">
        <f t="shared" si="19"/>
        <v>77.690190518809899</v>
      </c>
      <c r="J193">
        <f t="shared" si="23"/>
        <v>-2.4610996097189997</v>
      </c>
      <c r="K193">
        <f t="shared" si="24"/>
        <v>6.0570112889590124</v>
      </c>
      <c r="L193">
        <f t="shared" si="25"/>
        <v>2.4610996097189997</v>
      </c>
      <c r="M193">
        <f t="shared" si="26"/>
        <v>3.2714732824474332E-2</v>
      </c>
    </row>
    <row r="194" spans="2:13" ht="12.75" x14ac:dyDescent="0.2">
      <c r="B194" s="2">
        <v>43313</v>
      </c>
      <c r="C194" s="1">
        <v>73.851304347826002</v>
      </c>
      <c r="E194">
        <f t="shared" si="20"/>
        <v>74.259636713343639</v>
      </c>
      <c r="F194">
        <f t="shared" si="21"/>
        <v>73.575109718537774</v>
      </c>
      <c r="G194">
        <f t="shared" si="18"/>
        <v>74.944163708149503</v>
      </c>
      <c r="H194">
        <f t="shared" si="22"/>
        <v>0.59842692723303659</v>
      </c>
      <c r="I194">
        <f t="shared" si="19"/>
        <v>75.542590635382538</v>
      </c>
      <c r="J194">
        <f t="shared" si="23"/>
        <v>-1.6912862875565366</v>
      </c>
      <c r="K194">
        <f t="shared" si="24"/>
        <v>2.860449306476772</v>
      </c>
      <c r="L194">
        <f t="shared" si="25"/>
        <v>1.6912862875565366</v>
      </c>
      <c r="M194">
        <f t="shared" si="26"/>
        <v>2.2901237865629167E-2</v>
      </c>
    </row>
    <row r="195" spans="2:13" ht="12.75" x14ac:dyDescent="0.2">
      <c r="B195" s="2">
        <v>43344</v>
      </c>
      <c r="C195" s="1">
        <v>79.162999999999997</v>
      </c>
      <c r="E195">
        <f t="shared" si="20"/>
        <v>76.546784033551205</v>
      </c>
      <c r="F195">
        <f t="shared" si="21"/>
        <v>74.961231151679087</v>
      </c>
      <c r="G195">
        <f t="shared" si="18"/>
        <v>78.132336915423323</v>
      </c>
      <c r="H195">
        <f t="shared" si="22"/>
        <v>1.3861214331413083</v>
      </c>
      <c r="I195">
        <f t="shared" si="19"/>
        <v>79.518458348564636</v>
      </c>
      <c r="J195">
        <f t="shared" si="23"/>
        <v>-0.35545834856463898</v>
      </c>
      <c r="K195">
        <f t="shared" si="24"/>
        <v>0.12635063756430037</v>
      </c>
      <c r="L195">
        <f t="shared" si="25"/>
        <v>0.35545834856463898</v>
      </c>
      <c r="M195">
        <f t="shared" si="26"/>
        <v>4.4902081599312686E-3</v>
      </c>
    </row>
    <row r="196" spans="2:13" ht="12.75" x14ac:dyDescent="0.2">
      <c r="B196" s="2">
        <v>43374</v>
      </c>
      <c r="C196" s="1">
        <v>80.783478260869501</v>
      </c>
      <c r="E196">
        <f t="shared" si="20"/>
        <v>78.52296717195324</v>
      </c>
      <c r="F196">
        <f t="shared" si="21"/>
        <v>76.622583680100803</v>
      </c>
      <c r="G196">
        <f t="shared" si="18"/>
        <v>80.423350663805678</v>
      </c>
      <c r="H196">
        <f t="shared" si="22"/>
        <v>1.6613525284217174</v>
      </c>
      <c r="I196">
        <f t="shared" si="19"/>
        <v>82.084703192227394</v>
      </c>
      <c r="J196">
        <f t="shared" si="23"/>
        <v>-1.3012249313578934</v>
      </c>
      <c r="K196">
        <f t="shared" si="24"/>
        <v>1.6931863219873544</v>
      </c>
      <c r="L196">
        <f t="shared" si="25"/>
        <v>1.3012249313578934</v>
      </c>
      <c r="M196">
        <f t="shared" si="26"/>
        <v>1.6107562578030147E-2</v>
      </c>
    </row>
    <row r="197" spans="2:13" ht="12.75" x14ac:dyDescent="0.2">
      <c r="B197" s="2">
        <v>43405</v>
      </c>
      <c r="C197" s="1">
        <v>66.228636363636298</v>
      </c>
      <c r="E197">
        <f t="shared" si="20"/>
        <v>72.788342972578079</v>
      </c>
      <c r="F197">
        <f t="shared" si="21"/>
        <v>74.834122812209188</v>
      </c>
      <c r="G197">
        <f t="shared" si="18"/>
        <v>70.74256313294697</v>
      </c>
      <c r="H197">
        <f t="shared" si="22"/>
        <v>-1.7884608678916205</v>
      </c>
      <c r="I197">
        <f t="shared" si="19"/>
        <v>68.954102265055354</v>
      </c>
      <c r="J197">
        <f t="shared" si="23"/>
        <v>-2.7254659014190565</v>
      </c>
      <c r="K197">
        <f t="shared" si="24"/>
        <v>7.4281643797979902</v>
      </c>
      <c r="L197">
        <f t="shared" si="25"/>
        <v>2.7254659014190565</v>
      </c>
      <c r="M197">
        <f t="shared" si="26"/>
        <v>4.1152378352689582E-2</v>
      </c>
    </row>
    <row r="198" spans="2:13" ht="12.75" x14ac:dyDescent="0.2">
      <c r="B198" s="2">
        <v>43435</v>
      </c>
      <c r="C198" s="1">
        <v>57.948095238095199</v>
      </c>
      <c r="E198">
        <f t="shared" si="20"/>
        <v>65.866189574418598</v>
      </c>
      <c r="F198">
        <f t="shared" si="21"/>
        <v>70.651078792519669</v>
      </c>
      <c r="G198">
        <f t="shared" si="18"/>
        <v>61.081300356317527</v>
      </c>
      <c r="H198">
        <f t="shared" si="22"/>
        <v>-4.1830440196895218</v>
      </c>
      <c r="I198">
        <f t="shared" si="19"/>
        <v>56.898256336628009</v>
      </c>
      <c r="J198">
        <f t="shared" si="23"/>
        <v>1.0498389014671901</v>
      </c>
      <c r="K198">
        <f t="shared" si="24"/>
        <v>1.1021617190338364</v>
      </c>
      <c r="L198">
        <f t="shared" si="25"/>
        <v>1.0498389014671901</v>
      </c>
      <c r="M198">
        <f t="shared" si="26"/>
        <v>1.8116883689682069E-2</v>
      </c>
    </row>
    <row r="199" spans="2:13" ht="12.75" x14ac:dyDescent="0.2">
      <c r="B199" s="2">
        <v>43466</v>
      </c>
      <c r="C199" s="1">
        <v>59.944782608695597</v>
      </c>
      <c r="E199">
        <f t="shared" si="20"/>
        <v>63.104181278935584</v>
      </c>
      <c r="F199">
        <f t="shared" si="21"/>
        <v>67.130869210854087</v>
      </c>
      <c r="G199">
        <f t="shared" si="18"/>
        <v>59.077493347017082</v>
      </c>
      <c r="H199">
        <f t="shared" si="22"/>
        <v>-3.5202095816655676</v>
      </c>
      <c r="I199">
        <f t="shared" si="19"/>
        <v>55.557283765351514</v>
      </c>
      <c r="J199">
        <f t="shared" si="23"/>
        <v>4.3874988433440834</v>
      </c>
      <c r="K199">
        <f t="shared" si="24"/>
        <v>19.25014610034567</v>
      </c>
      <c r="L199">
        <f t="shared" si="25"/>
        <v>4.3874988433440834</v>
      </c>
      <c r="M199">
        <f t="shared" si="26"/>
        <v>7.3192338889350353E-2</v>
      </c>
    </row>
    <row r="200" spans="2:13" ht="12.75" x14ac:dyDescent="0.2">
      <c r="B200" s="2">
        <v>43497</v>
      </c>
      <c r="C200" s="1">
        <v>64.384</v>
      </c>
      <c r="E200">
        <f t="shared" si="20"/>
        <v>63.701145808608437</v>
      </c>
      <c r="F200">
        <f t="shared" si="21"/>
        <v>65.531093255063467</v>
      </c>
      <c r="G200">
        <f t="shared" ref="G200:G263" si="27">2*E200-F200</f>
        <v>61.871198362153407</v>
      </c>
      <c r="H200">
        <f t="shared" si="22"/>
        <v>-1.5997759557906097</v>
      </c>
      <c r="I200">
        <f t="shared" ref="I200:I263" si="28">G200+H200</f>
        <v>60.271422406362795</v>
      </c>
      <c r="J200">
        <f t="shared" si="23"/>
        <v>4.1125775936372051</v>
      </c>
      <c r="K200">
        <f t="shared" si="24"/>
        <v>16.913294463686785</v>
      </c>
      <c r="L200">
        <f t="shared" si="25"/>
        <v>4.1125775936372051</v>
      </c>
      <c r="M200">
        <f t="shared" si="26"/>
        <v>6.3875770278907881E-2</v>
      </c>
    </row>
    <row r="201" spans="2:13" ht="12.75" x14ac:dyDescent="0.2">
      <c r="B201" s="2">
        <v>43525</v>
      </c>
      <c r="C201" s="1">
        <v>66.941904761904695</v>
      </c>
      <c r="E201">
        <f t="shared" ref="E201:E264" si="29">$D$2*C201+(1-$D$2)*E200</f>
        <v>65.21278031785252</v>
      </c>
      <c r="F201">
        <f t="shared" ref="F201:F264" si="30">$D$2*E201+(1-$D$2)*F200</f>
        <v>65.382617904825679</v>
      </c>
      <c r="G201">
        <f t="shared" si="27"/>
        <v>65.042942730879361</v>
      </c>
      <c r="H201">
        <f t="shared" ref="H201:H264" si="31">($D$2/(1-$D$2))*(E201-F201)</f>
        <v>-0.1484753502377881</v>
      </c>
      <c r="I201">
        <f t="shared" si="28"/>
        <v>64.894467380641572</v>
      </c>
      <c r="J201">
        <f t="shared" ref="J201:J264" si="32">C201-I201</f>
        <v>2.0474373812631228</v>
      </c>
      <c r="K201">
        <f t="shared" ref="K201:K264" si="33">POWER(J201,2)</f>
        <v>4.1919998301935939</v>
      </c>
      <c r="L201">
        <f t="shared" ref="L201:L264" si="34">ABS(C201-I201)</f>
        <v>2.0474373812631228</v>
      </c>
      <c r="M201">
        <f t="shared" ref="M201:M264" si="35">L201/C201</f>
        <v>3.0585287176176659E-2</v>
      </c>
    </row>
    <row r="202" spans="2:13" ht="12.75" x14ac:dyDescent="0.2">
      <c r="B202" s="2">
        <v>43556</v>
      </c>
      <c r="C202" s="1">
        <v>71.475909090908999</v>
      </c>
      <c r="E202">
        <f t="shared" si="29"/>
        <v>68.134182904602142</v>
      </c>
      <c r="F202">
        <f t="shared" si="30"/>
        <v>66.666070536765389</v>
      </c>
      <c r="G202">
        <f t="shared" si="27"/>
        <v>69.602295272438894</v>
      </c>
      <c r="H202">
        <f t="shared" si="31"/>
        <v>1.2834526319397079</v>
      </c>
      <c r="I202">
        <f t="shared" si="28"/>
        <v>70.885747904378604</v>
      </c>
      <c r="J202">
        <f t="shared" si="32"/>
        <v>0.59016118653039484</v>
      </c>
      <c r="K202">
        <f t="shared" si="33"/>
        <v>0.34829022608696347</v>
      </c>
      <c r="L202">
        <f t="shared" si="34"/>
        <v>0.59016118653039484</v>
      </c>
      <c r="M202">
        <f t="shared" si="35"/>
        <v>8.2567846150760921E-3</v>
      </c>
    </row>
    <row r="203" spans="2:13" ht="12.75" x14ac:dyDescent="0.2">
      <c r="B203" s="2">
        <v>43586</v>
      </c>
      <c r="C203" s="1">
        <v>70.389130434782601</v>
      </c>
      <c r="E203">
        <f t="shared" si="29"/>
        <v>69.185991000260856</v>
      </c>
      <c r="F203">
        <f t="shared" si="30"/>
        <v>67.841473825953443</v>
      </c>
      <c r="G203">
        <f t="shared" si="27"/>
        <v>70.530508174568268</v>
      </c>
      <c r="H203">
        <f t="shared" si="31"/>
        <v>1.1754032891880586</v>
      </c>
      <c r="I203">
        <f t="shared" si="28"/>
        <v>71.705911463756323</v>
      </c>
      <c r="J203">
        <f t="shared" si="32"/>
        <v>-1.3167810289737218</v>
      </c>
      <c r="K203">
        <f t="shared" si="33"/>
        <v>1.7339122782650938</v>
      </c>
      <c r="L203">
        <f t="shared" si="34"/>
        <v>1.3167810289737218</v>
      </c>
      <c r="M203">
        <f t="shared" si="35"/>
        <v>1.8707164314151523E-2</v>
      </c>
    </row>
    <row r="204" spans="2:13" ht="12.75" x14ac:dyDescent="0.2">
      <c r="B204" s="2">
        <v>43617</v>
      </c>
      <c r="C204" s="1">
        <v>63.208500000000001</v>
      </c>
      <c r="E204">
        <f t="shared" si="29"/>
        <v>66.397822609797984</v>
      </c>
      <c r="F204">
        <f t="shared" si="30"/>
        <v>67.168090513864428</v>
      </c>
      <c r="G204">
        <f t="shared" si="27"/>
        <v>65.627554705731541</v>
      </c>
      <c r="H204">
        <f t="shared" si="31"/>
        <v>-0.67338331208901536</v>
      </c>
      <c r="I204">
        <f t="shared" si="28"/>
        <v>64.954171393642525</v>
      </c>
      <c r="J204">
        <f t="shared" si="32"/>
        <v>-1.7456713936425245</v>
      </c>
      <c r="K204">
        <f t="shared" si="33"/>
        <v>3.0473686145818339</v>
      </c>
      <c r="L204">
        <f t="shared" si="34"/>
        <v>1.7456713936425245</v>
      </c>
      <c r="M204">
        <f t="shared" si="35"/>
        <v>2.7617668409193771E-2</v>
      </c>
    </row>
    <row r="205" spans="2:13" ht="12.75" x14ac:dyDescent="0.2">
      <c r="B205" s="2">
        <v>43647</v>
      </c>
      <c r="C205" s="1">
        <v>64.3221739130434</v>
      </c>
      <c r="E205">
        <f t="shared" si="29"/>
        <v>65.429647486532389</v>
      </c>
      <c r="F205">
        <f t="shared" si="30"/>
        <v>66.357203153730183</v>
      </c>
      <c r="G205">
        <f t="shared" si="27"/>
        <v>64.502091819334595</v>
      </c>
      <c r="H205">
        <f t="shared" si="31"/>
        <v>-0.81088736013425877</v>
      </c>
      <c r="I205">
        <f t="shared" si="28"/>
        <v>63.691204459200335</v>
      </c>
      <c r="J205">
        <f t="shared" si="32"/>
        <v>0.6309694538430648</v>
      </c>
      <c r="K205">
        <f t="shared" si="33"/>
        <v>0.39812245168301547</v>
      </c>
      <c r="L205">
        <f t="shared" si="34"/>
        <v>0.6309694538430648</v>
      </c>
      <c r="M205">
        <f t="shared" si="35"/>
        <v>9.8095169279581104E-3</v>
      </c>
    </row>
    <row r="206" spans="2:13" ht="12.75" x14ac:dyDescent="0.2">
      <c r="B206" s="2">
        <v>43678</v>
      </c>
      <c r="C206" s="1">
        <v>59.618181818181803</v>
      </c>
      <c r="E206">
        <f t="shared" si="29"/>
        <v>62.718920715375702</v>
      </c>
      <c r="F206">
        <f t="shared" si="30"/>
        <v>64.660145962050024</v>
      </c>
      <c r="G206">
        <f t="shared" si="27"/>
        <v>60.777695468701381</v>
      </c>
      <c r="H206">
        <f t="shared" si="31"/>
        <v>-1.6970571916801713</v>
      </c>
      <c r="I206">
        <f t="shared" si="28"/>
        <v>59.080638277021208</v>
      </c>
      <c r="J206">
        <f t="shared" si="32"/>
        <v>0.53754354116059488</v>
      </c>
      <c r="K206">
        <f t="shared" si="33"/>
        <v>0.28895305864347215</v>
      </c>
      <c r="L206">
        <f t="shared" si="34"/>
        <v>0.53754354116059488</v>
      </c>
      <c r="M206">
        <f t="shared" si="35"/>
        <v>9.0164363415165382E-3</v>
      </c>
    </row>
    <row r="207" spans="2:13" ht="12.75" x14ac:dyDescent="0.2">
      <c r="B207" s="2">
        <v>43709</v>
      </c>
      <c r="C207" s="1">
        <v>62.430952380952299</v>
      </c>
      <c r="E207">
        <f t="shared" si="29"/>
        <v>62.584599441205903</v>
      </c>
      <c r="F207">
        <f t="shared" si="30"/>
        <v>63.692018498185973</v>
      </c>
      <c r="G207">
        <f t="shared" si="27"/>
        <v>61.477180384225832</v>
      </c>
      <c r="H207">
        <f t="shared" si="31"/>
        <v>-0.9681274638640639</v>
      </c>
      <c r="I207">
        <f t="shared" si="28"/>
        <v>60.509052920361768</v>
      </c>
      <c r="J207">
        <f t="shared" si="32"/>
        <v>1.9218994605905309</v>
      </c>
      <c r="K207">
        <f t="shared" si="33"/>
        <v>3.6936975366181732</v>
      </c>
      <c r="L207">
        <f t="shared" si="34"/>
        <v>1.9218994605905309</v>
      </c>
      <c r="M207">
        <f t="shared" si="35"/>
        <v>3.0784400802716296E-2</v>
      </c>
    </row>
    <row r="208" spans="2:13" ht="12.75" x14ac:dyDescent="0.2">
      <c r="B208" s="2">
        <v>43739</v>
      </c>
      <c r="C208" s="1">
        <v>59.631304347826003</v>
      </c>
      <c r="E208">
        <f t="shared" si="29"/>
        <v>61.207050896722677</v>
      </c>
      <c r="F208">
        <f t="shared" si="30"/>
        <v>62.532918782699667</v>
      </c>
      <c r="G208">
        <f t="shared" si="27"/>
        <v>59.881183010745687</v>
      </c>
      <c r="H208">
        <f t="shared" si="31"/>
        <v>-1.1590997154863043</v>
      </c>
      <c r="I208">
        <f t="shared" si="28"/>
        <v>58.722083295259381</v>
      </c>
      <c r="J208">
        <f t="shared" si="32"/>
        <v>0.90922105256662178</v>
      </c>
      <c r="K208">
        <f t="shared" si="33"/>
        <v>0.82668292243035557</v>
      </c>
      <c r="L208">
        <f t="shared" si="34"/>
        <v>0.90922105256662178</v>
      </c>
      <c r="M208">
        <f t="shared" si="35"/>
        <v>1.5247378243869816E-2</v>
      </c>
    </row>
    <row r="209" spans="2:13" ht="12.75" x14ac:dyDescent="0.2">
      <c r="B209" s="2">
        <v>43770</v>
      </c>
      <c r="C209" s="1">
        <v>62.686666666666603</v>
      </c>
      <c r="E209">
        <f t="shared" si="29"/>
        <v>61.897209680668652</v>
      </c>
      <c r="F209">
        <f t="shared" si="30"/>
        <v>62.236395705753992</v>
      </c>
      <c r="G209">
        <f t="shared" si="27"/>
        <v>61.558023655583312</v>
      </c>
      <c r="H209">
        <f t="shared" si="31"/>
        <v>-0.29652307694566998</v>
      </c>
      <c r="I209">
        <f t="shared" si="28"/>
        <v>61.261500578637644</v>
      </c>
      <c r="J209">
        <f t="shared" si="32"/>
        <v>1.4251660880289592</v>
      </c>
      <c r="K209">
        <f t="shared" si="33"/>
        <v>2.031098378467767</v>
      </c>
      <c r="L209">
        <f t="shared" si="34"/>
        <v>1.4251660880289592</v>
      </c>
      <c r="M209">
        <f t="shared" si="35"/>
        <v>2.2734756269737751E-2</v>
      </c>
    </row>
    <row r="210" spans="2:13" ht="12.75" x14ac:dyDescent="0.2">
      <c r="B210" s="2">
        <v>43800</v>
      </c>
      <c r="C210" s="1">
        <v>65.3481818181818</v>
      </c>
      <c r="E210">
        <f t="shared" si="29"/>
        <v>63.506896994252621</v>
      </c>
      <c r="F210">
        <f t="shared" si="30"/>
        <v>62.829014169333384</v>
      </c>
      <c r="G210">
        <f t="shared" si="27"/>
        <v>64.184779819171865</v>
      </c>
      <c r="H210">
        <f t="shared" si="31"/>
        <v>0.59261846357939185</v>
      </c>
      <c r="I210">
        <f t="shared" si="28"/>
        <v>64.777398282751264</v>
      </c>
      <c r="J210">
        <f t="shared" si="32"/>
        <v>0.57078353543053595</v>
      </c>
      <c r="K210">
        <f t="shared" si="33"/>
        <v>0.32579384431858188</v>
      </c>
      <c r="L210">
        <f t="shared" si="34"/>
        <v>0.57078353543053595</v>
      </c>
      <c r="M210">
        <f t="shared" si="35"/>
        <v>8.7344975720767045E-3</v>
      </c>
    </row>
    <row r="211" spans="2:13" ht="12.75" x14ac:dyDescent="0.2">
      <c r="B211" s="2">
        <v>43831</v>
      </c>
      <c r="C211" s="1">
        <v>63.898695652173899</v>
      </c>
      <c r="E211">
        <f t="shared" si="29"/>
        <v>63.689649361992565</v>
      </c>
      <c r="F211">
        <f t="shared" si="30"/>
        <v>63.230452806344715</v>
      </c>
      <c r="G211">
        <f t="shared" si="27"/>
        <v>64.148845917640415</v>
      </c>
      <c r="H211">
        <f t="shared" si="31"/>
        <v>0.40143863701134308</v>
      </c>
      <c r="I211">
        <f t="shared" si="28"/>
        <v>64.550284554651753</v>
      </c>
      <c r="J211">
        <f t="shared" si="32"/>
        <v>-0.6515889024778545</v>
      </c>
      <c r="K211">
        <f t="shared" si="33"/>
        <v>0.42456809783229499</v>
      </c>
      <c r="L211">
        <f t="shared" si="34"/>
        <v>0.6515889024778545</v>
      </c>
      <c r="M211">
        <f t="shared" si="35"/>
        <v>1.0197217577408981E-2</v>
      </c>
    </row>
    <row r="212" spans="2:13" ht="12.75" x14ac:dyDescent="0.2">
      <c r="B212" s="2">
        <v>43862</v>
      </c>
      <c r="C212" s="1">
        <v>55.691000000000003</v>
      </c>
      <c r="E212">
        <f t="shared" si="29"/>
        <v>59.958722570713334</v>
      </c>
      <c r="F212">
        <f t="shared" si="30"/>
        <v>61.704371909742619</v>
      </c>
      <c r="G212">
        <f t="shared" si="27"/>
        <v>58.213073231684049</v>
      </c>
      <c r="H212">
        <f t="shared" si="31"/>
        <v>-1.5260808966021024</v>
      </c>
      <c r="I212">
        <f t="shared" si="28"/>
        <v>56.686992335081946</v>
      </c>
      <c r="J212">
        <f t="shared" si="32"/>
        <v>-0.99599233508194374</v>
      </c>
      <c r="K212">
        <f t="shared" si="33"/>
        <v>0.99200073154198287</v>
      </c>
      <c r="L212">
        <f t="shared" si="34"/>
        <v>0.99599233508194374</v>
      </c>
      <c r="M212">
        <f t="shared" si="35"/>
        <v>1.7884260205094964E-2</v>
      </c>
    </row>
    <row r="213" spans="2:13" ht="12.75" x14ac:dyDescent="0.2">
      <c r="B213" s="2">
        <v>43891</v>
      </c>
      <c r="C213" s="1">
        <v>33.947272727272697</v>
      </c>
      <c r="E213">
        <f t="shared" si="29"/>
        <v>47.825822288567075</v>
      </c>
      <c r="F213">
        <f t="shared" si="30"/>
        <v>55.230797402053113</v>
      </c>
      <c r="G213">
        <f t="shared" si="27"/>
        <v>40.420847175081036</v>
      </c>
      <c r="H213">
        <f t="shared" si="31"/>
        <v>-6.4735745076895146</v>
      </c>
      <c r="I213">
        <f t="shared" si="28"/>
        <v>33.947272667391523</v>
      </c>
      <c r="J213">
        <f t="shared" si="32"/>
        <v>5.9881173797293741E-8</v>
      </c>
      <c r="K213">
        <f t="shared" si="33"/>
        <v>3.5857549753416985E-15</v>
      </c>
      <c r="L213">
        <f t="shared" si="34"/>
        <v>5.9881173797293741E-8</v>
      </c>
      <c r="M213">
        <f t="shared" si="35"/>
        <v>1.7639465260838513E-9</v>
      </c>
    </row>
    <row r="214" spans="2:13" ht="12.75" x14ac:dyDescent="0.2">
      <c r="B214" s="2">
        <v>43922</v>
      </c>
      <c r="C214" s="1">
        <v>26.848636363636299</v>
      </c>
      <c r="E214">
        <f t="shared" si="29"/>
        <v>38.04112721931439</v>
      </c>
      <c r="F214">
        <f t="shared" si="30"/>
        <v>47.212768592992134</v>
      </c>
      <c r="G214">
        <f t="shared" si="27"/>
        <v>28.869485845636646</v>
      </c>
      <c r="H214">
        <f t="shared" si="31"/>
        <v>-8.0180288090609846</v>
      </c>
      <c r="I214">
        <f t="shared" si="28"/>
        <v>20.85145703657566</v>
      </c>
      <c r="J214">
        <f t="shared" si="32"/>
        <v>5.9971793270606391</v>
      </c>
      <c r="K214">
        <f t="shared" si="33"/>
        <v>35.966159880923499</v>
      </c>
      <c r="L214">
        <f t="shared" si="34"/>
        <v>5.9971793270606391</v>
      </c>
      <c r="M214">
        <f t="shared" si="35"/>
        <v>0.2233699784910938</v>
      </c>
    </row>
    <row r="215" spans="2:13" ht="12.75" x14ac:dyDescent="0.2">
      <c r="B215" s="2">
        <v>43952</v>
      </c>
      <c r="C215" s="1">
        <v>32.422380952380898</v>
      </c>
      <c r="E215">
        <f t="shared" si="29"/>
        <v>35.420293372000934</v>
      </c>
      <c r="F215">
        <f t="shared" si="30"/>
        <v>41.712232221620013</v>
      </c>
      <c r="G215">
        <f t="shared" si="27"/>
        <v>29.128354522381855</v>
      </c>
      <c r="H215">
        <f t="shared" si="31"/>
        <v>-5.5005363713721218</v>
      </c>
      <c r="I215">
        <f t="shared" si="28"/>
        <v>23.627818151009734</v>
      </c>
      <c r="J215">
        <f t="shared" si="32"/>
        <v>8.7945628013711641</v>
      </c>
      <c r="K215">
        <f t="shared" si="33"/>
        <v>77.344334867261423</v>
      </c>
      <c r="L215">
        <f t="shared" si="34"/>
        <v>8.7945628013711641</v>
      </c>
      <c r="M215">
        <f t="shared" si="35"/>
        <v>0.27124975227105724</v>
      </c>
    </row>
    <row r="216" spans="2:13" ht="12.75" x14ac:dyDescent="0.2">
      <c r="B216" s="2">
        <v>43983</v>
      </c>
      <c r="C216" s="1">
        <v>40.860454545454502</v>
      </c>
      <c r="E216">
        <f t="shared" si="29"/>
        <v>37.957827167063897</v>
      </c>
      <c r="F216">
        <f t="shared" si="30"/>
        <v>39.961010262833192</v>
      </c>
      <c r="G216">
        <f t="shared" si="27"/>
        <v>35.954644071294602</v>
      </c>
      <c r="H216">
        <f t="shared" si="31"/>
        <v>-1.7512219587868192</v>
      </c>
      <c r="I216">
        <f t="shared" si="28"/>
        <v>34.203422112507781</v>
      </c>
      <c r="J216">
        <f t="shared" si="32"/>
        <v>6.6570324329467212</v>
      </c>
      <c r="K216">
        <f t="shared" si="33"/>
        <v>44.316080813304545</v>
      </c>
      <c r="L216">
        <f t="shared" si="34"/>
        <v>6.6570324329467212</v>
      </c>
      <c r="M216">
        <f t="shared" si="35"/>
        <v>0.16292115462252682</v>
      </c>
    </row>
    <row r="217" spans="2:13" ht="12.75" x14ac:dyDescent="0.2">
      <c r="B217" s="2">
        <v>44013</v>
      </c>
      <c r="C217" s="1">
        <v>43.295652173912998</v>
      </c>
      <c r="E217">
        <f t="shared" si="29"/>
        <v>40.447626809969165</v>
      </c>
      <c r="F217">
        <f t="shared" si="30"/>
        <v>40.18798992285133</v>
      </c>
      <c r="G217">
        <f t="shared" si="27"/>
        <v>40.707263697087001</v>
      </c>
      <c r="H217">
        <f t="shared" si="31"/>
        <v>0.22697966001814432</v>
      </c>
      <c r="I217">
        <f t="shared" si="28"/>
        <v>40.934243357105146</v>
      </c>
      <c r="J217">
        <f t="shared" si="32"/>
        <v>2.3614088168078524</v>
      </c>
      <c r="K217">
        <f t="shared" si="33"/>
        <v>5.5762516000978612</v>
      </c>
      <c r="L217">
        <f t="shared" si="34"/>
        <v>2.3614088168078524</v>
      </c>
      <c r="M217">
        <f t="shared" si="35"/>
        <v>5.4541476989938401E-2</v>
      </c>
    </row>
    <row r="218" spans="2:13" ht="12.75" x14ac:dyDescent="0.2">
      <c r="B218" s="2">
        <v>44044</v>
      </c>
      <c r="C218" s="1">
        <v>45.081428571428503</v>
      </c>
      <c r="E218">
        <f t="shared" si="29"/>
        <v>42.609038612748677</v>
      </c>
      <c r="F218">
        <f t="shared" si="30"/>
        <v>41.317275007287051</v>
      </c>
      <c r="G218">
        <f t="shared" si="27"/>
        <v>43.900802218210302</v>
      </c>
      <c r="H218">
        <f t="shared" si="31"/>
        <v>1.1292850844357183</v>
      </c>
      <c r="I218">
        <f t="shared" si="28"/>
        <v>45.030087302646024</v>
      </c>
      <c r="J218">
        <f t="shared" si="32"/>
        <v>5.1341268782479688E-2</v>
      </c>
      <c r="K218">
        <f t="shared" si="33"/>
        <v>2.6359258801948232E-3</v>
      </c>
      <c r="L218">
        <f t="shared" si="34"/>
        <v>5.1341268782479688E-2</v>
      </c>
      <c r="M218">
        <f t="shared" si="35"/>
        <v>1.1388562964710154E-3</v>
      </c>
    </row>
    <row r="219" spans="2:13" ht="12.75" x14ac:dyDescent="0.2">
      <c r="B219" s="2">
        <v>44075</v>
      </c>
      <c r="C219" s="1">
        <v>41.926818181818099</v>
      </c>
      <c r="E219">
        <f t="shared" si="29"/>
        <v>42.290820577662458</v>
      </c>
      <c r="F219">
        <f t="shared" si="30"/>
        <v>41.771380080114</v>
      </c>
      <c r="G219">
        <f t="shared" si="27"/>
        <v>42.810261075210917</v>
      </c>
      <c r="H219">
        <f t="shared" si="31"/>
        <v>0.45410507282694063</v>
      </c>
      <c r="I219">
        <f t="shared" si="28"/>
        <v>43.264366148037858</v>
      </c>
      <c r="J219">
        <f t="shared" si="32"/>
        <v>-1.3375479662197591</v>
      </c>
      <c r="K219">
        <f t="shared" si="33"/>
        <v>1.7890345619386139</v>
      </c>
      <c r="L219">
        <f t="shared" si="34"/>
        <v>1.3375479662197591</v>
      </c>
      <c r="M219">
        <f t="shared" si="35"/>
        <v>3.1901966908612148E-2</v>
      </c>
    </row>
    <row r="220" spans="2:13" ht="12.75" x14ac:dyDescent="0.2">
      <c r="B220" s="2">
        <v>44105</v>
      </c>
      <c r="C220" s="1">
        <v>41.606818181818099</v>
      </c>
      <c r="E220">
        <f t="shared" si="29"/>
        <v>41.97177135466724</v>
      </c>
      <c r="F220">
        <f t="shared" si="30"/>
        <v>41.864851507743005</v>
      </c>
      <c r="G220">
        <f t="shared" si="27"/>
        <v>42.078691201591475</v>
      </c>
      <c r="H220">
        <f t="shared" si="31"/>
        <v>9.347142762900508E-2</v>
      </c>
      <c r="I220">
        <f t="shared" si="28"/>
        <v>42.17216262922048</v>
      </c>
      <c r="J220">
        <f t="shared" si="32"/>
        <v>-0.56534444740238143</v>
      </c>
      <c r="K220">
        <f t="shared" si="33"/>
        <v>0.31961434420870405</v>
      </c>
      <c r="L220">
        <f t="shared" si="34"/>
        <v>0.56534444740238143</v>
      </c>
      <c r="M220">
        <f t="shared" si="35"/>
        <v>1.3587783736114509E-2</v>
      </c>
    </row>
    <row r="221" spans="2:13" ht="12.75" x14ac:dyDescent="0.2">
      <c r="B221" s="2">
        <v>44136</v>
      </c>
      <c r="C221" s="1">
        <v>44.05</v>
      </c>
      <c r="E221">
        <f t="shared" si="29"/>
        <v>42.941149881011889</v>
      </c>
      <c r="F221">
        <f t="shared" si="30"/>
        <v>42.366885070474254</v>
      </c>
      <c r="G221">
        <f t="shared" si="27"/>
        <v>43.515414691549523</v>
      </c>
      <c r="H221">
        <f t="shared" si="31"/>
        <v>0.50203356273124222</v>
      </c>
      <c r="I221">
        <f t="shared" si="28"/>
        <v>44.017448254280765</v>
      </c>
      <c r="J221">
        <f t="shared" si="32"/>
        <v>3.2551745719231917E-2</v>
      </c>
      <c r="K221">
        <f t="shared" si="33"/>
        <v>1.0596161493695334E-3</v>
      </c>
      <c r="L221">
        <f t="shared" si="34"/>
        <v>3.2551745719231917E-2</v>
      </c>
      <c r="M221">
        <f t="shared" si="35"/>
        <v>7.3897266104953278E-4</v>
      </c>
    </row>
    <row r="222" spans="2:13" ht="12.75" x14ac:dyDescent="0.2">
      <c r="B222" s="2">
        <v>44166</v>
      </c>
      <c r="C222" s="1">
        <v>50.376956521739103</v>
      </c>
      <c r="E222">
        <f t="shared" si="29"/>
        <v>46.409541725075698</v>
      </c>
      <c r="F222">
        <f t="shared" si="30"/>
        <v>44.252560431150201</v>
      </c>
      <c r="G222">
        <f t="shared" si="27"/>
        <v>48.566523019001195</v>
      </c>
      <c r="H222">
        <f t="shared" si="31"/>
        <v>1.8856753606759533</v>
      </c>
      <c r="I222">
        <f t="shared" si="28"/>
        <v>50.452198379677149</v>
      </c>
      <c r="J222">
        <f t="shared" si="32"/>
        <v>-7.5241857938046053E-2</v>
      </c>
      <c r="K222">
        <f t="shared" si="33"/>
        <v>5.6613371859691036E-3</v>
      </c>
      <c r="L222">
        <f t="shared" si="34"/>
        <v>7.5241857938046053E-2</v>
      </c>
      <c r="M222">
        <f t="shared" si="35"/>
        <v>1.4935768877895E-3</v>
      </c>
    </row>
    <row r="223" spans="2:13" ht="12.75" x14ac:dyDescent="0.2">
      <c r="B223" s="2">
        <v>44197</v>
      </c>
      <c r="C223" s="1">
        <v>55.224761904761898</v>
      </c>
      <c r="E223">
        <f t="shared" si="29"/>
        <v>50.52135356367134</v>
      </c>
      <c r="F223">
        <f t="shared" si="30"/>
        <v>47.176605127776838</v>
      </c>
      <c r="G223">
        <f t="shared" si="27"/>
        <v>53.866101999565842</v>
      </c>
      <c r="H223">
        <f t="shared" si="31"/>
        <v>2.9240446966266296</v>
      </c>
      <c r="I223">
        <f t="shared" si="28"/>
        <v>56.790146696192473</v>
      </c>
      <c r="J223">
        <f t="shared" si="32"/>
        <v>-1.5653847914305743</v>
      </c>
      <c r="K223">
        <f t="shared" si="33"/>
        <v>2.4504295452421427</v>
      </c>
      <c r="L223">
        <f t="shared" si="34"/>
        <v>1.5653847914305743</v>
      </c>
      <c r="M223">
        <f t="shared" si="35"/>
        <v>2.8345704670129052E-2</v>
      </c>
    </row>
    <row r="224" spans="2:13" ht="12.75" x14ac:dyDescent="0.2">
      <c r="B224" s="2">
        <v>44228</v>
      </c>
      <c r="C224" s="1">
        <v>62.362499999999997</v>
      </c>
      <c r="E224">
        <f t="shared" si="29"/>
        <v>56.044592360546631</v>
      </c>
      <c r="F224">
        <f t="shared" si="30"/>
        <v>51.31302987326923</v>
      </c>
      <c r="G224">
        <f t="shared" si="27"/>
        <v>60.776154847824031</v>
      </c>
      <c r="H224">
        <f t="shared" si="31"/>
        <v>4.1364247454923913</v>
      </c>
      <c r="I224">
        <f t="shared" si="28"/>
        <v>64.912579593316423</v>
      </c>
      <c r="J224">
        <f t="shared" si="32"/>
        <v>-2.5500795933164255</v>
      </c>
      <c r="K224">
        <f t="shared" si="33"/>
        <v>6.5029059322488658</v>
      </c>
      <c r="L224">
        <f t="shared" si="34"/>
        <v>2.5500795933164255</v>
      </c>
      <c r="M224">
        <f t="shared" si="35"/>
        <v>4.0891234208321116E-2</v>
      </c>
    </row>
    <row r="225" spans="2:13" ht="12.75" x14ac:dyDescent="0.2">
      <c r="B225" s="2">
        <v>44256</v>
      </c>
      <c r="C225" s="1">
        <v>65.796086956521705</v>
      </c>
      <c r="E225">
        <f t="shared" si="29"/>
        <v>60.593124343460659</v>
      </c>
      <c r="F225">
        <f t="shared" si="30"/>
        <v>55.641679813715463</v>
      </c>
      <c r="G225">
        <f t="shared" si="27"/>
        <v>65.544568873205861</v>
      </c>
      <c r="H225">
        <f t="shared" si="31"/>
        <v>4.3286499404462351</v>
      </c>
      <c r="I225">
        <f t="shared" si="28"/>
        <v>69.873218813652102</v>
      </c>
      <c r="J225">
        <f t="shared" si="32"/>
        <v>-4.0771318571303965</v>
      </c>
      <c r="K225">
        <f t="shared" si="33"/>
        <v>16.623004180427557</v>
      </c>
      <c r="L225">
        <f t="shared" si="34"/>
        <v>4.0771318571303965</v>
      </c>
      <c r="M225">
        <f t="shared" si="35"/>
        <v>6.1966175280675585E-2</v>
      </c>
    </row>
    <row r="226" spans="2:13" ht="12.75" x14ac:dyDescent="0.2">
      <c r="B226" s="2">
        <v>44287</v>
      </c>
      <c r="C226" s="1">
        <v>65.531818181818096</v>
      </c>
      <c r="E226">
        <f t="shared" si="29"/>
        <v>62.896751408675996</v>
      </c>
      <c r="F226">
        <f t="shared" si="30"/>
        <v>59.02576877189729</v>
      </c>
      <c r="G226">
        <f t="shared" si="27"/>
        <v>66.767734045454702</v>
      </c>
      <c r="H226">
        <f t="shared" si="31"/>
        <v>3.3840889581818332</v>
      </c>
      <c r="I226">
        <f t="shared" si="28"/>
        <v>70.151823003636537</v>
      </c>
      <c r="J226">
        <f t="shared" si="32"/>
        <v>-4.6200048218184406</v>
      </c>
      <c r="K226">
        <f t="shared" si="33"/>
        <v>21.344444553625642</v>
      </c>
      <c r="L226">
        <f t="shared" si="34"/>
        <v>4.6200048218184406</v>
      </c>
      <c r="M226">
        <f t="shared" si="35"/>
        <v>7.0500177623642801E-2</v>
      </c>
    </row>
    <row r="227" spans="2:13" ht="12.75" x14ac:dyDescent="0.2">
      <c r="B227" s="2">
        <v>44317</v>
      </c>
      <c r="C227" s="1">
        <v>68.375238095238103</v>
      </c>
      <c r="E227">
        <f t="shared" si="29"/>
        <v>65.452161932318376</v>
      </c>
      <c r="F227">
        <f t="shared" si="30"/>
        <v>62.023325150282631</v>
      </c>
      <c r="G227">
        <f t="shared" si="27"/>
        <v>68.880998714354121</v>
      </c>
      <c r="H227">
        <f t="shared" si="31"/>
        <v>2.9975563783853354</v>
      </c>
      <c r="I227">
        <f t="shared" si="28"/>
        <v>71.878555092739461</v>
      </c>
      <c r="J227">
        <f t="shared" si="32"/>
        <v>-3.5033169975013578</v>
      </c>
      <c r="K227">
        <f t="shared" si="33"/>
        <v>12.27322998498193</v>
      </c>
      <c r="L227">
        <f t="shared" si="34"/>
        <v>3.5033169975013578</v>
      </c>
      <c r="M227">
        <f t="shared" si="35"/>
        <v>5.123663324757536E-2</v>
      </c>
    </row>
    <row r="228" spans="2:13" ht="12.75" x14ac:dyDescent="0.2">
      <c r="B228" s="2">
        <v>44348</v>
      </c>
      <c r="C228" s="1">
        <v>73.512727272727204</v>
      </c>
      <c r="E228">
        <f t="shared" si="29"/>
        <v>69.21196909729909</v>
      </c>
      <c r="F228">
        <f t="shared" si="30"/>
        <v>65.376429290880907</v>
      </c>
      <c r="G228">
        <f t="shared" si="27"/>
        <v>73.047508903717272</v>
      </c>
      <c r="H228">
        <f t="shared" si="31"/>
        <v>3.3531041405982625</v>
      </c>
      <c r="I228">
        <f t="shared" si="28"/>
        <v>76.400613044315534</v>
      </c>
      <c r="J228">
        <f t="shared" si="32"/>
        <v>-2.8878857715883299</v>
      </c>
      <c r="K228">
        <f t="shared" si="33"/>
        <v>8.3398842297423244</v>
      </c>
      <c r="L228">
        <f t="shared" si="34"/>
        <v>2.8878857715883299</v>
      </c>
      <c r="M228">
        <f t="shared" si="35"/>
        <v>3.9284160426730878E-2</v>
      </c>
    </row>
    <row r="229" spans="2:13" ht="12.75" x14ac:dyDescent="0.2">
      <c r="B229" s="2">
        <v>44378</v>
      </c>
      <c r="C229" s="1">
        <v>74.403181818181807</v>
      </c>
      <c r="E229">
        <f t="shared" si="29"/>
        <v>71.633382231321775</v>
      </c>
      <c r="F229">
        <f t="shared" si="30"/>
        <v>68.29495119386489</v>
      </c>
      <c r="G229">
        <f t="shared" si="27"/>
        <v>74.971813268778661</v>
      </c>
      <c r="H229">
        <f t="shared" si="31"/>
        <v>2.9185219029839891</v>
      </c>
      <c r="I229">
        <f t="shared" si="28"/>
        <v>77.890335171762644</v>
      </c>
      <c r="J229">
        <f t="shared" si="32"/>
        <v>-3.4871533535808368</v>
      </c>
      <c r="K229">
        <f t="shared" si="33"/>
        <v>12.160238511390077</v>
      </c>
      <c r="L229">
        <f t="shared" si="34"/>
        <v>3.4871533535808368</v>
      </c>
      <c r="M229">
        <f t="shared" si="35"/>
        <v>4.6868336385160962E-2</v>
      </c>
    </row>
    <row r="230" spans="2:13" ht="12.75" x14ac:dyDescent="0.2">
      <c r="B230" s="2">
        <v>44409</v>
      </c>
      <c r="C230" s="1">
        <v>70.588181818181795</v>
      </c>
      <c r="E230">
        <f t="shared" si="29"/>
        <v>71.14585414412123</v>
      </c>
      <c r="F230">
        <f t="shared" si="30"/>
        <v>69.624739476245452</v>
      </c>
      <c r="G230">
        <f t="shared" si="27"/>
        <v>72.666968811997009</v>
      </c>
      <c r="H230">
        <f t="shared" si="31"/>
        <v>1.3297882823805398</v>
      </c>
      <c r="I230">
        <f t="shared" si="28"/>
        <v>73.996757094377543</v>
      </c>
      <c r="J230">
        <f t="shared" si="32"/>
        <v>-3.408575276195748</v>
      </c>
      <c r="K230">
        <f t="shared" si="33"/>
        <v>11.61838541349292</v>
      </c>
      <c r="L230">
        <f t="shared" si="34"/>
        <v>3.408575276195748</v>
      </c>
      <c r="M230">
        <f t="shared" si="35"/>
        <v>4.8288186328065787E-2</v>
      </c>
    </row>
    <row r="231" spans="2:13" ht="12.75" x14ac:dyDescent="0.2">
      <c r="B231" s="2">
        <v>44440</v>
      </c>
      <c r="C231" s="1">
        <v>74.749545454545398</v>
      </c>
      <c r="E231">
        <f t="shared" si="29"/>
        <v>72.826776491017597</v>
      </c>
      <c r="F231">
        <f t="shared" si="30"/>
        <v>71.118312346416261</v>
      </c>
      <c r="G231">
        <f t="shared" si="27"/>
        <v>74.535240635618933</v>
      </c>
      <c r="H231">
        <f t="shared" si="31"/>
        <v>1.4935728701708131</v>
      </c>
      <c r="I231">
        <f t="shared" si="28"/>
        <v>76.028813505789742</v>
      </c>
      <c r="J231">
        <f t="shared" si="32"/>
        <v>-1.279268051244344</v>
      </c>
      <c r="K231">
        <f t="shared" si="33"/>
        <v>1.6365267469345015</v>
      </c>
      <c r="L231">
        <f t="shared" si="34"/>
        <v>1.279268051244344</v>
      </c>
      <c r="M231">
        <f t="shared" si="35"/>
        <v>1.711405793125868E-2</v>
      </c>
    </row>
    <row r="232" spans="2:13" ht="12.75" x14ac:dyDescent="0.2">
      <c r="B232" s="2">
        <v>44470</v>
      </c>
      <c r="C232" s="1">
        <v>83.865238095238098</v>
      </c>
      <c r="E232">
        <f t="shared" si="29"/>
        <v>77.97560728354955</v>
      </c>
      <c r="F232">
        <f t="shared" si="30"/>
        <v>74.316860531091379</v>
      </c>
      <c r="G232">
        <f t="shared" si="27"/>
        <v>81.634354036007721</v>
      </c>
      <c r="H232">
        <f t="shared" si="31"/>
        <v>3.1985481846750941</v>
      </c>
      <c r="I232">
        <f t="shared" si="28"/>
        <v>84.832902220682811</v>
      </c>
      <c r="J232">
        <f t="shared" si="32"/>
        <v>-0.96766412544471336</v>
      </c>
      <c r="K232">
        <f t="shared" si="33"/>
        <v>0.93637385967268194</v>
      </c>
      <c r="L232">
        <f t="shared" si="34"/>
        <v>0.96766412544471336</v>
      </c>
      <c r="M232">
        <f t="shared" si="35"/>
        <v>1.153832204406104E-2</v>
      </c>
    </row>
    <row r="233" spans="2:13" ht="12.75" x14ac:dyDescent="0.2">
      <c r="B233" s="2">
        <v>44501</v>
      </c>
      <c r="C233" s="1">
        <v>80.890454545454503</v>
      </c>
      <c r="E233">
        <f t="shared" si="29"/>
        <v>79.335222044712054</v>
      </c>
      <c r="F233">
        <f t="shared" si="30"/>
        <v>76.657648153119084</v>
      </c>
      <c r="G233">
        <f t="shared" si="27"/>
        <v>82.012795936305025</v>
      </c>
      <c r="H233">
        <f t="shared" si="31"/>
        <v>2.3407876220276975</v>
      </c>
      <c r="I233">
        <f t="shared" si="28"/>
        <v>84.35358355833273</v>
      </c>
      <c r="J233">
        <f t="shared" si="32"/>
        <v>-3.4631290128782268</v>
      </c>
      <c r="K233">
        <f t="shared" si="33"/>
        <v>11.993262559838922</v>
      </c>
      <c r="L233">
        <f t="shared" si="34"/>
        <v>3.4631290128782268</v>
      </c>
      <c r="M233">
        <f t="shared" si="35"/>
        <v>4.2812579461179841E-2</v>
      </c>
    </row>
    <row r="234" spans="2:13" ht="12.75" x14ac:dyDescent="0.2">
      <c r="B234" s="2">
        <v>44531</v>
      </c>
      <c r="C234" s="1">
        <v>74.678260869565193</v>
      </c>
      <c r="E234">
        <f t="shared" si="29"/>
        <v>77.163007658510438</v>
      </c>
      <c r="F234">
        <f t="shared" si="30"/>
        <v>76.893370364777894</v>
      </c>
      <c r="G234">
        <f t="shared" si="27"/>
        <v>77.432644952242981</v>
      </c>
      <c r="H234">
        <f t="shared" si="31"/>
        <v>0.23572221165881094</v>
      </c>
      <c r="I234">
        <f t="shared" si="28"/>
        <v>77.668367163901792</v>
      </c>
      <c r="J234">
        <f t="shared" si="32"/>
        <v>-2.9901062943365986</v>
      </c>
      <c r="K234">
        <f t="shared" si="33"/>
        <v>8.9407356514313463</v>
      </c>
      <c r="L234">
        <f t="shared" si="34"/>
        <v>2.9901062943365986</v>
      </c>
      <c r="M234">
        <f t="shared" si="35"/>
        <v>4.0039849074139378E-2</v>
      </c>
    </row>
    <row r="235" spans="2:13" ht="12.75" x14ac:dyDescent="0.2">
      <c r="B235" s="2">
        <v>44562</v>
      </c>
      <c r="C235" s="1">
        <v>85.622380952380894</v>
      </c>
      <c r="E235">
        <f t="shared" si="29"/>
        <v>81.10883663927612</v>
      </c>
      <c r="F235">
        <f t="shared" si="30"/>
        <v>78.859651839246922</v>
      </c>
      <c r="G235">
        <f t="shared" si="27"/>
        <v>83.358021439305318</v>
      </c>
      <c r="H235">
        <f t="shared" si="31"/>
        <v>1.9662814744690238</v>
      </c>
      <c r="I235">
        <f t="shared" si="28"/>
        <v>85.324302913774346</v>
      </c>
      <c r="J235">
        <f t="shared" si="32"/>
        <v>0.29807803860654758</v>
      </c>
      <c r="K235">
        <f t="shared" si="33"/>
        <v>8.8850517099526474E-2</v>
      </c>
      <c r="L235">
        <f t="shared" si="34"/>
        <v>0.29807803860654758</v>
      </c>
      <c r="M235">
        <f t="shared" si="35"/>
        <v>3.4813098548652187E-3</v>
      </c>
    </row>
    <row r="236" spans="2:13" ht="12.75" x14ac:dyDescent="0.2">
      <c r="B236" s="2">
        <v>44593</v>
      </c>
      <c r="C236" s="1">
        <v>94.266999999999996</v>
      </c>
      <c r="E236">
        <f t="shared" si="29"/>
        <v>87.246390866846866</v>
      </c>
      <c r="F236">
        <f t="shared" si="30"/>
        <v>82.77160095883491</v>
      </c>
      <c r="G236">
        <f t="shared" si="27"/>
        <v>91.721180774858823</v>
      </c>
      <c r="H236">
        <f t="shared" si="31"/>
        <v>3.9119491195879665</v>
      </c>
      <c r="I236">
        <f t="shared" si="28"/>
        <v>95.633129894446796</v>
      </c>
      <c r="J236">
        <f t="shared" si="32"/>
        <v>-1.3661298944468001</v>
      </c>
      <c r="K236">
        <f t="shared" si="33"/>
        <v>1.8663108885012252</v>
      </c>
      <c r="L236">
        <f t="shared" si="34"/>
        <v>1.3661298944468001</v>
      </c>
      <c r="M236">
        <f t="shared" si="35"/>
        <v>1.4492132925061794E-2</v>
      </c>
    </row>
    <row r="237" spans="2:13" ht="12.75" x14ac:dyDescent="0.2">
      <c r="B237" s="2">
        <v>44621</v>
      </c>
      <c r="C237" s="1">
        <v>112.44</v>
      </c>
      <c r="E237">
        <f t="shared" si="29"/>
        <v>98.997813767135455</v>
      </c>
      <c r="F237">
        <f t="shared" si="30"/>
        <v>90.340230279573831</v>
      </c>
      <c r="G237">
        <f t="shared" si="27"/>
        <v>107.65539725469708</v>
      </c>
      <c r="H237">
        <f t="shared" si="31"/>
        <v>7.5686293207389426</v>
      </c>
      <c r="I237">
        <f t="shared" si="28"/>
        <v>115.22402657543603</v>
      </c>
      <c r="J237">
        <f t="shared" si="32"/>
        <v>-2.7840265754360303</v>
      </c>
      <c r="K237">
        <f t="shared" si="33"/>
        <v>7.7508039727340705</v>
      </c>
      <c r="L237">
        <f t="shared" si="34"/>
        <v>2.7840265754360303</v>
      </c>
      <c r="M237">
        <f t="shared" si="35"/>
        <v>2.4760108283849433E-2</v>
      </c>
    </row>
    <row r="238" spans="2:13" ht="12.75" x14ac:dyDescent="0.2">
      <c r="B238" s="2">
        <v>44652</v>
      </c>
      <c r="C238" s="1">
        <v>106.155714285714</v>
      </c>
      <c r="E238">
        <f t="shared" si="29"/>
        <v>102.33657780159533</v>
      </c>
      <c r="F238">
        <f t="shared" si="30"/>
        <v>95.935861784572893</v>
      </c>
      <c r="G238">
        <f t="shared" si="27"/>
        <v>108.73729381861776</v>
      </c>
      <c r="H238">
        <f t="shared" si="31"/>
        <v>5.5956315049990488</v>
      </c>
      <c r="I238">
        <f t="shared" si="28"/>
        <v>114.33292532361681</v>
      </c>
      <c r="J238">
        <f t="shared" si="32"/>
        <v>-8.1772110379028078</v>
      </c>
      <c r="K238">
        <f t="shared" si="33"/>
        <v>66.86678035839951</v>
      </c>
      <c r="L238">
        <f t="shared" si="34"/>
        <v>8.1772110379028078</v>
      </c>
      <c r="M238">
        <f t="shared" si="35"/>
        <v>7.7030342576699745E-2</v>
      </c>
    </row>
    <row r="239" spans="2:13" ht="12.75" x14ac:dyDescent="0.2">
      <c r="B239" s="2">
        <v>44682</v>
      </c>
      <c r="C239" s="1">
        <v>112.113636363636</v>
      </c>
      <c r="E239">
        <f t="shared" si="29"/>
        <v>106.89703395840036</v>
      </c>
      <c r="F239">
        <f t="shared" si="30"/>
        <v>101.04864133976642</v>
      </c>
      <c r="G239">
        <f t="shared" si="27"/>
        <v>112.74542657703429</v>
      </c>
      <c r="H239">
        <f t="shared" si="31"/>
        <v>5.1127795551935131</v>
      </c>
      <c r="I239">
        <f t="shared" si="28"/>
        <v>117.85820613222781</v>
      </c>
      <c r="J239">
        <f t="shared" si="32"/>
        <v>-5.744569768591802</v>
      </c>
      <c r="K239">
        <f t="shared" si="33"/>
        <v>33.000081826218867</v>
      </c>
      <c r="L239">
        <f t="shared" si="34"/>
        <v>5.744569768591802</v>
      </c>
      <c r="M239">
        <f t="shared" si="35"/>
        <v>5.1238814072175169E-2</v>
      </c>
    </row>
    <row r="240" spans="2:13" ht="12.75" x14ac:dyDescent="0.2">
      <c r="B240" s="2">
        <v>44713</v>
      </c>
      <c r="C240" s="1">
        <v>117.692727272727</v>
      </c>
      <c r="E240">
        <f t="shared" si="29"/>
        <v>111.93262679339139</v>
      </c>
      <c r="F240">
        <f t="shared" si="30"/>
        <v>106.12541756623511</v>
      </c>
      <c r="G240">
        <f t="shared" si="27"/>
        <v>117.73983602054767</v>
      </c>
      <c r="H240">
        <f t="shared" si="31"/>
        <v>5.0767762264686898</v>
      </c>
      <c r="I240">
        <f t="shared" si="28"/>
        <v>122.81661224701637</v>
      </c>
      <c r="J240">
        <f t="shared" si="32"/>
        <v>-5.1238849742893677</v>
      </c>
      <c r="K240">
        <f t="shared" si="33"/>
        <v>26.254197229748353</v>
      </c>
      <c r="L240">
        <f t="shared" si="34"/>
        <v>5.1238849742893677</v>
      </c>
      <c r="M240">
        <f t="shared" si="35"/>
        <v>4.3536122350329193E-2</v>
      </c>
    </row>
    <row r="241" spans="2:13" ht="12.75" x14ac:dyDescent="0.2">
      <c r="B241" s="2">
        <v>44743</v>
      </c>
      <c r="C241" s="1">
        <v>105.252857142857</v>
      </c>
      <c r="E241">
        <f t="shared" si="29"/>
        <v>108.81688431977153</v>
      </c>
      <c r="F241">
        <f t="shared" si="30"/>
        <v>107.3808376958287</v>
      </c>
      <c r="G241">
        <f t="shared" si="27"/>
        <v>110.25293094371436</v>
      </c>
      <c r="H241">
        <f t="shared" si="31"/>
        <v>1.2554201295935816</v>
      </c>
      <c r="I241">
        <f t="shared" si="28"/>
        <v>111.50835107330795</v>
      </c>
      <c r="J241">
        <f t="shared" si="32"/>
        <v>-6.2554939304509531</v>
      </c>
      <c r="K241">
        <f t="shared" si="33"/>
        <v>39.131204313908711</v>
      </c>
      <c r="L241">
        <f t="shared" si="34"/>
        <v>6.2554939304509531</v>
      </c>
      <c r="M241">
        <f t="shared" si="35"/>
        <v>5.9433008283666183E-2</v>
      </c>
    </row>
    <row r="242" spans="2:13" ht="12.75" x14ac:dyDescent="0.2">
      <c r="B242" s="2">
        <v>44774</v>
      </c>
      <c r="C242" s="1">
        <v>97.643043478260793</v>
      </c>
      <c r="E242">
        <f t="shared" si="29"/>
        <v>103.60490661323817</v>
      </c>
      <c r="F242">
        <f t="shared" si="30"/>
        <v>105.61957503753516</v>
      </c>
      <c r="G242">
        <f t="shared" si="27"/>
        <v>101.59023818894119</v>
      </c>
      <c r="H242">
        <f t="shared" si="31"/>
        <v>-1.7612626582935453</v>
      </c>
      <c r="I242">
        <f t="shared" si="28"/>
        <v>99.828975530647639</v>
      </c>
      <c r="J242">
        <f t="shared" si="32"/>
        <v>-2.1859320523868462</v>
      </c>
      <c r="K242">
        <f t="shared" si="33"/>
        <v>4.7782989376521696</v>
      </c>
      <c r="L242">
        <f t="shared" si="34"/>
        <v>2.1859320523868462</v>
      </c>
      <c r="M242">
        <f t="shared" si="35"/>
        <v>2.238697171369429E-2</v>
      </c>
    </row>
    <row r="243" spans="2:13" ht="12.75" x14ac:dyDescent="0.2">
      <c r="B243" s="2">
        <v>44805</v>
      </c>
      <c r="C243" s="1">
        <v>90.608181818181805</v>
      </c>
      <c r="E243">
        <f t="shared" si="29"/>
        <v>97.542654532634486</v>
      </c>
      <c r="F243">
        <f t="shared" si="30"/>
        <v>101.85213909441742</v>
      </c>
      <c r="G243">
        <f t="shared" si="27"/>
        <v>93.233169970851549</v>
      </c>
      <c r="H243">
        <f t="shared" si="31"/>
        <v>-3.7674359431177233</v>
      </c>
      <c r="I243">
        <f t="shared" si="28"/>
        <v>89.465734027733831</v>
      </c>
      <c r="J243">
        <f t="shared" si="32"/>
        <v>1.1424477904479744</v>
      </c>
      <c r="K243">
        <f t="shared" si="33"/>
        <v>1.3051869538994587</v>
      </c>
      <c r="L243">
        <f t="shared" si="34"/>
        <v>1.1424477904479744</v>
      </c>
      <c r="M243">
        <f t="shared" si="35"/>
        <v>1.2608660360721708E-2</v>
      </c>
    </row>
    <row r="244" spans="2:13" ht="12.75" x14ac:dyDescent="0.2">
      <c r="B244" s="2">
        <v>44835</v>
      </c>
      <c r="C244" s="1">
        <v>93.718571428571394</v>
      </c>
      <c r="E244">
        <f t="shared" si="29"/>
        <v>95.758931624011694</v>
      </c>
      <c r="F244">
        <f t="shared" si="30"/>
        <v>99.009995381482327</v>
      </c>
      <c r="G244">
        <f t="shared" si="27"/>
        <v>92.507867866541062</v>
      </c>
      <c r="H244">
        <f t="shared" si="31"/>
        <v>-2.8421437129350933</v>
      </c>
      <c r="I244">
        <f t="shared" si="28"/>
        <v>89.665724153605964</v>
      </c>
      <c r="J244">
        <f t="shared" si="32"/>
        <v>4.0528472749654298</v>
      </c>
      <c r="K244">
        <f t="shared" si="33"/>
        <v>16.425571034194711</v>
      </c>
      <c r="L244">
        <f t="shared" si="34"/>
        <v>4.0528472749654298</v>
      </c>
      <c r="M244">
        <f t="shared" si="35"/>
        <v>4.3244868260228983E-2</v>
      </c>
    </row>
    <row r="245" spans="2:13" ht="12.75" x14ac:dyDescent="0.2">
      <c r="B245" s="2">
        <v>44866</v>
      </c>
      <c r="C245" s="1">
        <v>90.938636363636306</v>
      </c>
      <c r="E245">
        <f t="shared" si="29"/>
        <v>93.510530935982189</v>
      </c>
      <c r="F245">
        <f t="shared" si="30"/>
        <v>96.44479989549184</v>
      </c>
      <c r="G245">
        <f t="shared" si="27"/>
        <v>90.576261976472537</v>
      </c>
      <c r="H245">
        <f t="shared" si="31"/>
        <v>-2.565195485990492</v>
      </c>
      <c r="I245">
        <f t="shared" si="28"/>
        <v>88.011066490482051</v>
      </c>
      <c r="J245">
        <f t="shared" si="32"/>
        <v>2.9275698731542548</v>
      </c>
      <c r="K245">
        <f t="shared" si="33"/>
        <v>8.570665362200419</v>
      </c>
      <c r="L245">
        <f t="shared" si="34"/>
        <v>2.9275698731542548</v>
      </c>
      <c r="M245">
        <f t="shared" si="35"/>
        <v>3.2192805942765426E-2</v>
      </c>
    </row>
    <row r="246" spans="2:13" ht="12.75" x14ac:dyDescent="0.2">
      <c r="B246" s="2">
        <v>44896</v>
      </c>
      <c r="C246" s="1">
        <v>81.503181818181801</v>
      </c>
      <c r="E246">
        <f t="shared" si="29"/>
        <v>87.909767796055689</v>
      </c>
      <c r="F246">
        <f t="shared" si="30"/>
        <v>92.463680273530827</v>
      </c>
      <c r="G246">
        <f t="shared" si="27"/>
        <v>83.355855318580552</v>
      </c>
      <c r="H246">
        <f t="shared" si="31"/>
        <v>-3.9811196219610134</v>
      </c>
      <c r="I246">
        <f t="shared" si="28"/>
        <v>79.374735696619538</v>
      </c>
      <c r="J246">
        <f t="shared" si="32"/>
        <v>2.1284461215622628</v>
      </c>
      <c r="K246">
        <f t="shared" si="33"/>
        <v>4.5302828923934388</v>
      </c>
      <c r="L246">
        <f t="shared" si="34"/>
        <v>2.1284461215622628</v>
      </c>
      <c r="M246">
        <f t="shared" si="35"/>
        <v>2.6114883788346126E-2</v>
      </c>
    </row>
    <row r="247" spans="2:13" ht="12.75" x14ac:dyDescent="0.2">
      <c r="B247" s="2">
        <v>44927</v>
      </c>
      <c r="C247" s="1">
        <v>84.081818181818093</v>
      </c>
      <c r="E247">
        <f t="shared" si="29"/>
        <v>86.124241374646431</v>
      </c>
      <c r="F247">
        <f t="shared" si="30"/>
        <v>89.5066832407676</v>
      </c>
      <c r="G247">
        <f t="shared" si="27"/>
        <v>82.741799508525261</v>
      </c>
      <c r="H247">
        <f t="shared" si="31"/>
        <v>-2.9569970327632267</v>
      </c>
      <c r="I247">
        <f t="shared" si="28"/>
        <v>79.784802475762035</v>
      </c>
      <c r="J247">
        <f t="shared" si="32"/>
        <v>4.2970157060560581</v>
      </c>
      <c r="K247">
        <f t="shared" si="33"/>
        <v>18.464343978092444</v>
      </c>
      <c r="L247">
        <f t="shared" si="34"/>
        <v>4.2970157060560581</v>
      </c>
      <c r="M247">
        <f t="shared" si="35"/>
        <v>5.1105171117544264E-2</v>
      </c>
    </row>
    <row r="248" spans="2:13" ht="12.75" x14ac:dyDescent="0.2">
      <c r="B248" s="2">
        <v>44958</v>
      </c>
      <c r="C248" s="1">
        <v>83.632499999999894</v>
      </c>
      <c r="E248">
        <f t="shared" si="29"/>
        <v>84.961982069246432</v>
      </c>
      <c r="F248">
        <f t="shared" si="30"/>
        <v>87.386831926899958</v>
      </c>
      <c r="G248">
        <f t="shared" si="27"/>
        <v>82.537132211592905</v>
      </c>
      <c r="H248">
        <f t="shared" si="31"/>
        <v>-2.1198513138676218</v>
      </c>
      <c r="I248">
        <f t="shared" si="28"/>
        <v>80.417280897725277</v>
      </c>
      <c r="J248">
        <f t="shared" si="32"/>
        <v>3.2152191022746166</v>
      </c>
      <c r="K248">
        <f t="shared" si="33"/>
        <v>10.337633875631591</v>
      </c>
      <c r="L248">
        <f t="shared" si="34"/>
        <v>3.2152191022746166</v>
      </c>
      <c r="M248">
        <f t="shared" si="35"/>
        <v>3.8444613066387121E-2</v>
      </c>
    </row>
    <row r="249" spans="2:13" ht="12.75" x14ac:dyDescent="0.2">
      <c r="B249" s="2">
        <v>44986</v>
      </c>
      <c r="C249" s="1">
        <v>79.256521739130406</v>
      </c>
      <c r="E249">
        <f t="shared" si="29"/>
        <v>82.300700915535757</v>
      </c>
      <c r="F249">
        <f t="shared" si="30"/>
        <v>85.014433588697557</v>
      </c>
      <c r="G249">
        <f t="shared" si="27"/>
        <v>79.586968242373956</v>
      </c>
      <c r="H249">
        <f t="shared" si="31"/>
        <v>-2.3723983382023928</v>
      </c>
      <c r="I249">
        <f t="shared" si="28"/>
        <v>77.214569904171569</v>
      </c>
      <c r="J249">
        <f t="shared" si="32"/>
        <v>2.0419518349588373</v>
      </c>
      <c r="K249">
        <f t="shared" si="33"/>
        <v>4.1695672962917625</v>
      </c>
      <c r="L249">
        <f t="shared" si="34"/>
        <v>2.0419518349588373</v>
      </c>
      <c r="M249">
        <f t="shared" si="35"/>
        <v>2.5763833564130381E-2</v>
      </c>
    </row>
    <row r="250" spans="2:13" ht="12.75" x14ac:dyDescent="0.2">
      <c r="B250" s="2">
        <v>45017</v>
      </c>
      <c r="C250" s="1">
        <v>83.536000000000001</v>
      </c>
      <c r="E250">
        <f t="shared" si="29"/>
        <v>82.87689950118326</v>
      </c>
      <c r="F250">
        <f t="shared" si="30"/>
        <v>84.017392359177649</v>
      </c>
      <c r="G250">
        <f t="shared" si="27"/>
        <v>81.736406643188872</v>
      </c>
      <c r="H250">
        <f t="shared" si="31"/>
        <v>-0.9970412295199067</v>
      </c>
      <c r="I250">
        <f t="shared" si="28"/>
        <v>80.739365413668963</v>
      </c>
      <c r="J250">
        <f t="shared" si="32"/>
        <v>2.796634586331038</v>
      </c>
      <c r="K250">
        <f t="shared" si="33"/>
        <v>7.8211650094629759</v>
      </c>
      <c r="L250">
        <f t="shared" si="34"/>
        <v>2.796634586331038</v>
      </c>
      <c r="M250">
        <f t="shared" si="35"/>
        <v>3.3478196063146885E-2</v>
      </c>
    </row>
    <row r="251" spans="2:13" ht="12.75" x14ac:dyDescent="0.2">
      <c r="B251" s="2">
        <v>45047</v>
      </c>
      <c r="C251" s="1">
        <v>75.747391304347801</v>
      </c>
      <c r="E251">
        <f t="shared" si="29"/>
        <v>79.551378911843159</v>
      </c>
      <c r="F251">
        <f t="shared" si="30"/>
        <v>81.93424450923581</v>
      </c>
      <c r="G251">
        <f t="shared" si="27"/>
        <v>77.168513314450507</v>
      </c>
      <c r="H251">
        <f t="shared" si="31"/>
        <v>-2.083147849941859</v>
      </c>
      <c r="I251">
        <f t="shared" si="28"/>
        <v>75.085365464508655</v>
      </c>
      <c r="J251">
        <f t="shared" si="32"/>
        <v>0.66202583983914565</v>
      </c>
      <c r="K251">
        <f t="shared" si="33"/>
        <v>0.4382782126147261</v>
      </c>
      <c r="L251">
        <f t="shared" si="34"/>
        <v>0.66202583983914565</v>
      </c>
      <c r="M251">
        <f t="shared" si="35"/>
        <v>8.739916034588853E-3</v>
      </c>
    </row>
    <row r="252" spans="2:13" ht="12.75" x14ac:dyDescent="0.2">
      <c r="B252" s="2">
        <v>45078</v>
      </c>
      <c r="C252" s="1">
        <v>74.974999999999895</v>
      </c>
      <c r="E252">
        <f t="shared" si="29"/>
        <v>77.416751687105318</v>
      </c>
      <c r="F252">
        <f t="shared" si="30"/>
        <v>79.827084382979237</v>
      </c>
      <c r="G252">
        <f t="shared" si="27"/>
        <v>75.006418991231399</v>
      </c>
      <c r="H252">
        <f t="shared" si="31"/>
        <v>-2.1071601262565625</v>
      </c>
      <c r="I252">
        <f t="shared" si="28"/>
        <v>72.89925886497484</v>
      </c>
      <c r="J252">
        <f t="shared" si="32"/>
        <v>2.075741135025055</v>
      </c>
      <c r="K252">
        <f t="shared" si="33"/>
        <v>4.3087012596351038</v>
      </c>
      <c r="L252">
        <f t="shared" si="34"/>
        <v>2.075741135025055</v>
      </c>
      <c r="M252">
        <f t="shared" si="35"/>
        <v>2.7685777059353888E-2</v>
      </c>
    </row>
    <row r="253" spans="2:13" ht="12.75" x14ac:dyDescent="0.2">
      <c r="B253" s="2">
        <v>45108</v>
      </c>
      <c r="C253" s="1">
        <v>80.109047619047601</v>
      </c>
      <c r="E253">
        <f t="shared" si="29"/>
        <v>78.672558582487625</v>
      </c>
      <c r="F253">
        <f t="shared" si="30"/>
        <v>79.288562059354803</v>
      </c>
      <c r="G253">
        <f t="shared" si="27"/>
        <v>78.056555105620447</v>
      </c>
      <c r="H253">
        <f t="shared" si="31"/>
        <v>-0.53852232362441532</v>
      </c>
      <c r="I253">
        <f t="shared" si="28"/>
        <v>77.518032781996027</v>
      </c>
      <c r="J253">
        <f t="shared" si="32"/>
        <v>2.5910148370515742</v>
      </c>
      <c r="K253">
        <f t="shared" si="33"/>
        <v>6.713357885821396</v>
      </c>
      <c r="L253">
        <f t="shared" si="34"/>
        <v>2.5910148370515742</v>
      </c>
      <c r="M253">
        <f t="shared" si="35"/>
        <v>3.2343598058648074E-2</v>
      </c>
    </row>
    <row r="254" spans="2:13" ht="12.75" x14ac:dyDescent="0.2">
      <c r="B254" s="2">
        <v>45139</v>
      </c>
      <c r="C254" s="1">
        <v>85.168260869565202</v>
      </c>
      <c r="E254">
        <f t="shared" si="29"/>
        <v>81.702443828638025</v>
      </c>
      <c r="F254">
        <f t="shared" si="30"/>
        <v>80.414504172381214</v>
      </c>
      <c r="G254">
        <f t="shared" si="27"/>
        <v>82.990383484894835</v>
      </c>
      <c r="H254">
        <f t="shared" si="31"/>
        <v>1.1259421130264144</v>
      </c>
      <c r="I254">
        <f t="shared" si="28"/>
        <v>84.116325597921247</v>
      </c>
      <c r="J254">
        <f t="shared" si="32"/>
        <v>1.0519352716439556</v>
      </c>
      <c r="K254">
        <f t="shared" si="33"/>
        <v>1.1065678157286427</v>
      </c>
      <c r="L254">
        <f t="shared" si="34"/>
        <v>1.0519352716439556</v>
      </c>
      <c r="M254">
        <f t="shared" si="35"/>
        <v>1.2351259270809692E-2</v>
      </c>
    </row>
    <row r="255" spans="2:13" ht="12.75" x14ac:dyDescent="0.2">
      <c r="B255" s="2">
        <v>45170</v>
      </c>
      <c r="C255" s="1">
        <v>92.673333333333304</v>
      </c>
      <c r="E255">
        <f t="shared" si="29"/>
        <v>86.819755980327983</v>
      </c>
      <c r="F255">
        <f t="shared" si="30"/>
        <v>83.402199281097069</v>
      </c>
      <c r="G255">
        <f t="shared" si="27"/>
        <v>90.237312679558897</v>
      </c>
      <c r="H255">
        <f t="shared" si="31"/>
        <v>2.9876951087158412</v>
      </c>
      <c r="I255">
        <f t="shared" si="28"/>
        <v>93.225007788274738</v>
      </c>
      <c r="J255">
        <f t="shared" si="32"/>
        <v>-0.55167445494143408</v>
      </c>
      <c r="K255">
        <f t="shared" si="33"/>
        <v>0.30434470423492838</v>
      </c>
      <c r="L255">
        <f t="shared" si="34"/>
        <v>0.55167445494143408</v>
      </c>
      <c r="M255">
        <f t="shared" si="35"/>
        <v>5.9528931905053692E-3</v>
      </c>
    </row>
    <row r="256" spans="2:13" ht="12.75" x14ac:dyDescent="0.2">
      <c r="B256" s="2">
        <v>45200</v>
      </c>
      <c r="C256" s="1">
        <v>88.947727272727207</v>
      </c>
      <c r="E256">
        <f t="shared" si="29"/>
        <v>87.812336695718614</v>
      </c>
      <c r="F256">
        <f t="shared" si="30"/>
        <v>85.459284057386796</v>
      </c>
      <c r="G256">
        <f t="shared" si="27"/>
        <v>90.165389334050431</v>
      </c>
      <c r="H256">
        <f t="shared" si="31"/>
        <v>2.0570847762897251</v>
      </c>
      <c r="I256">
        <f t="shared" si="28"/>
        <v>92.222474110340158</v>
      </c>
      <c r="J256">
        <f t="shared" si="32"/>
        <v>-3.2747468376129518</v>
      </c>
      <c r="K256">
        <f t="shared" si="33"/>
        <v>10.723966850456028</v>
      </c>
      <c r="L256">
        <f t="shared" si="34"/>
        <v>3.2747468376129518</v>
      </c>
      <c r="M256">
        <f t="shared" si="35"/>
        <v>3.6816531889253136E-2</v>
      </c>
    </row>
    <row r="257" spans="2:13" ht="12.75" x14ac:dyDescent="0.2">
      <c r="B257" s="2">
        <v>45231</v>
      </c>
      <c r="C257" s="1">
        <v>82.186363636363595</v>
      </c>
      <c r="E257">
        <f t="shared" si="29"/>
        <v>85.188131950114666</v>
      </c>
      <c r="F257">
        <f t="shared" si="30"/>
        <v>85.332806621541124</v>
      </c>
      <c r="G257">
        <f t="shared" si="27"/>
        <v>85.043457278688209</v>
      </c>
      <c r="H257">
        <f t="shared" si="31"/>
        <v>-0.12647743584566459</v>
      </c>
      <c r="I257">
        <f t="shared" si="28"/>
        <v>84.916979842842551</v>
      </c>
      <c r="J257">
        <f t="shared" si="32"/>
        <v>-2.7306162064789561</v>
      </c>
      <c r="K257">
        <f t="shared" si="33"/>
        <v>7.4562648670855252</v>
      </c>
      <c r="L257">
        <f t="shared" si="34"/>
        <v>2.7306162064789561</v>
      </c>
      <c r="M257">
        <f t="shared" si="35"/>
        <v>3.3224686987742419E-2</v>
      </c>
    </row>
    <row r="258" spans="2:13" ht="12.75" x14ac:dyDescent="0.2">
      <c r="B258" s="2">
        <v>45261</v>
      </c>
      <c r="C258" s="1">
        <v>77.540952380952305</v>
      </c>
      <c r="E258">
        <f t="shared" si="29"/>
        <v>81.621146345284558</v>
      </c>
      <c r="F258">
        <f t="shared" si="30"/>
        <v>83.601522733711988</v>
      </c>
      <c r="G258">
        <f t="shared" si="27"/>
        <v>79.640769956857127</v>
      </c>
      <c r="H258">
        <f t="shared" si="31"/>
        <v>-1.7312838878291272</v>
      </c>
      <c r="I258">
        <f t="shared" si="28"/>
        <v>77.909486069028006</v>
      </c>
      <c r="J258">
        <f t="shared" si="32"/>
        <v>-0.36853368807570064</v>
      </c>
      <c r="K258">
        <f t="shared" si="33"/>
        <v>0.13581707924667782</v>
      </c>
      <c r="L258">
        <f t="shared" si="34"/>
        <v>0.36853368807570064</v>
      </c>
      <c r="M258">
        <f t="shared" si="35"/>
        <v>4.7527619504223392E-3</v>
      </c>
    </row>
    <row r="259" spans="2:13" ht="12.75" x14ac:dyDescent="0.2">
      <c r="B259" s="2">
        <v>45292</v>
      </c>
      <c r="C259" s="1">
        <v>79.11</v>
      </c>
      <c r="E259">
        <f t="shared" si="29"/>
        <v>80.449835696143765</v>
      </c>
      <c r="F259">
        <f t="shared" si="30"/>
        <v>82.131435338449364</v>
      </c>
      <c r="G259">
        <f t="shared" si="27"/>
        <v>78.768236053838166</v>
      </c>
      <c r="H259">
        <f t="shared" si="31"/>
        <v>-1.4700873952626361</v>
      </c>
      <c r="I259">
        <f t="shared" si="28"/>
        <v>77.298148658575528</v>
      </c>
      <c r="J259">
        <f t="shared" si="32"/>
        <v>1.8118513414244717</v>
      </c>
      <c r="K259">
        <f t="shared" si="33"/>
        <v>3.2828052834216574</v>
      </c>
      <c r="L259">
        <f t="shared" si="34"/>
        <v>1.8118513414244717</v>
      </c>
      <c r="M259">
        <f t="shared" si="35"/>
        <v>2.290293694127761E-2</v>
      </c>
    </row>
    <row r="260" spans="2:13" ht="12.75" x14ac:dyDescent="0.2">
      <c r="B260" s="2">
        <v>45323</v>
      </c>
      <c r="C260" s="1">
        <v>81.795714285714297</v>
      </c>
      <c r="E260">
        <f t="shared" si="29"/>
        <v>81.077613494667844</v>
      </c>
      <c r="F260">
        <f t="shared" si="30"/>
        <v>81.639885831493558</v>
      </c>
      <c r="G260">
        <f t="shared" si="27"/>
        <v>80.51534115784213</v>
      </c>
      <c r="H260">
        <f t="shared" si="31"/>
        <v>-0.49154950695578969</v>
      </c>
      <c r="I260">
        <f t="shared" si="28"/>
        <v>80.023791650886338</v>
      </c>
      <c r="J260">
        <f t="shared" si="32"/>
        <v>1.7719226348279591</v>
      </c>
      <c r="K260">
        <f t="shared" si="33"/>
        <v>3.1397098238156569</v>
      </c>
      <c r="L260">
        <f t="shared" si="34"/>
        <v>1.7719226348279591</v>
      </c>
      <c r="M260">
        <f t="shared" si="35"/>
        <v>2.1662780871850973E-2</v>
      </c>
    </row>
    <row r="261" spans="2:13" ht="12.75" x14ac:dyDescent="0.2">
      <c r="B261" s="2">
        <v>45352</v>
      </c>
      <c r="C261" s="1">
        <v>84.961428571428499</v>
      </c>
      <c r="E261">
        <f t="shared" si="29"/>
        <v>82.889198059321245</v>
      </c>
      <c r="F261">
        <f t="shared" si="30"/>
        <v>82.222620772172831</v>
      </c>
      <c r="G261">
        <f t="shared" si="27"/>
        <v>83.555775346469659</v>
      </c>
      <c r="H261">
        <f t="shared" si="31"/>
        <v>0.58273494067927634</v>
      </c>
      <c r="I261">
        <f t="shared" si="28"/>
        <v>84.138510287148932</v>
      </c>
      <c r="J261">
        <f t="shared" si="32"/>
        <v>0.82291828427956659</v>
      </c>
      <c r="K261">
        <f t="shared" si="33"/>
        <v>0.67719450260162561</v>
      </c>
      <c r="L261">
        <f t="shared" si="34"/>
        <v>0.82291828427956659</v>
      </c>
      <c r="M261">
        <f t="shared" si="35"/>
        <v>9.685786810749367E-3</v>
      </c>
    </row>
    <row r="262" spans="2:13" ht="12.75" x14ac:dyDescent="0.2">
      <c r="B262" s="2">
        <v>45383</v>
      </c>
      <c r="C262" s="1">
        <v>88.974545454545407</v>
      </c>
      <c r="E262">
        <f t="shared" si="29"/>
        <v>85.727675482643036</v>
      </c>
      <c r="F262">
        <f t="shared" si="30"/>
        <v>83.857534609792921</v>
      </c>
      <c r="G262">
        <f t="shared" si="27"/>
        <v>87.597816355493151</v>
      </c>
      <c r="H262">
        <f t="shared" si="31"/>
        <v>1.6349138376200902</v>
      </c>
      <c r="I262">
        <f t="shared" si="28"/>
        <v>89.232730193113241</v>
      </c>
      <c r="J262">
        <f t="shared" si="32"/>
        <v>-0.25818473856783442</v>
      </c>
      <c r="K262">
        <f t="shared" si="33"/>
        <v>6.6659359229341006E-2</v>
      </c>
      <c r="L262">
        <f t="shared" si="34"/>
        <v>0.25818473856783442</v>
      </c>
      <c r="M262">
        <f t="shared" si="35"/>
        <v>2.9017820461890837E-3</v>
      </c>
    </row>
    <row r="263" spans="2:13" ht="12.75" x14ac:dyDescent="0.2">
      <c r="B263" s="2">
        <v>45413</v>
      </c>
      <c r="C263" s="1">
        <v>83.053913043478204</v>
      </c>
      <c r="E263">
        <f t="shared" si="29"/>
        <v>84.480513434860626</v>
      </c>
      <c r="F263">
        <f t="shared" si="30"/>
        <v>84.148119717809919</v>
      </c>
      <c r="G263">
        <f t="shared" si="27"/>
        <v>84.812907151911332</v>
      </c>
      <c r="H263">
        <f t="shared" si="31"/>
        <v>0.29058510801701054</v>
      </c>
      <c r="I263">
        <f t="shared" si="28"/>
        <v>85.103492259928345</v>
      </c>
      <c r="J263">
        <f t="shared" si="32"/>
        <v>-2.049579216450141</v>
      </c>
      <c r="K263">
        <f t="shared" si="33"/>
        <v>4.2007749645043742</v>
      </c>
      <c r="L263">
        <f t="shared" si="34"/>
        <v>2.049579216450141</v>
      </c>
      <c r="M263">
        <f t="shared" si="35"/>
        <v>2.4677695984982657E-2</v>
      </c>
    </row>
    <row r="264" spans="2:13" ht="12.75" x14ac:dyDescent="0.2">
      <c r="B264" s="2">
        <v>45444</v>
      </c>
      <c r="C264" s="1">
        <v>82.917500000000004</v>
      </c>
      <c r="E264">
        <f t="shared" si="29"/>
        <v>83.751454260575457</v>
      </c>
      <c r="F264">
        <f t="shared" si="30"/>
        <v>83.963097257817694</v>
      </c>
      <c r="G264">
        <f t="shared" ref="G264:G283" si="36">2*E264-F264</f>
        <v>83.53981126333322</v>
      </c>
      <c r="H264">
        <f t="shared" si="31"/>
        <v>-0.1850224599922187</v>
      </c>
      <c r="I264">
        <f t="shared" ref="I264:I283" si="37">G264+H264</f>
        <v>83.354788803340995</v>
      </c>
      <c r="J264">
        <f t="shared" si="32"/>
        <v>-0.43728880334099074</v>
      </c>
      <c r="K264">
        <f t="shared" si="33"/>
        <v>0.19122149752739567</v>
      </c>
      <c r="L264">
        <f t="shared" si="34"/>
        <v>0.43728880334099074</v>
      </c>
      <c r="M264">
        <f t="shared" si="35"/>
        <v>5.2737818113304273E-3</v>
      </c>
    </row>
    <row r="265" spans="2:13" ht="12.75" x14ac:dyDescent="0.2">
      <c r="B265" s="2">
        <v>45474</v>
      </c>
      <c r="C265" s="1">
        <v>84.048695652173905</v>
      </c>
      <c r="E265">
        <f t="shared" ref="E265:E283" si="38">$D$2*C265+(1-$D$2)*E264</f>
        <v>83.890100902177409</v>
      </c>
      <c r="F265">
        <f t="shared" ref="F265:F283" si="39">$D$2*E265+(1-$D$2)*F264</f>
        <v>83.929048502009223</v>
      </c>
      <c r="G265">
        <f t="shared" si="36"/>
        <v>83.851153302345594</v>
      </c>
      <c r="H265">
        <f t="shared" ref="H265:H283" si="40">($D$2/(1-$D$2))*(E265-F265)</f>
        <v>-3.4048755808476036E-2</v>
      </c>
      <c r="I265">
        <f t="shared" si="37"/>
        <v>83.817104546537124</v>
      </c>
      <c r="J265">
        <f t="shared" ref="J265:J283" si="41">C265-I265</f>
        <v>0.23159110563678098</v>
      </c>
      <c r="K265">
        <f t="shared" ref="K265:K283" si="42">POWER(J265,2)</f>
        <v>5.363444021006665E-2</v>
      </c>
      <c r="L265">
        <f t="shared" ref="L265:L283" si="43">ABS(C265-I265)</f>
        <v>0.23159110563678098</v>
      </c>
      <c r="M265">
        <f t="shared" ref="M265:M283" si="44">L265/C265</f>
        <v>2.7554396155675606E-3</v>
      </c>
    </row>
    <row r="266" spans="2:13" ht="12.75" x14ac:dyDescent="0.2">
      <c r="B266" s="2">
        <v>45505</v>
      </c>
      <c r="C266" s="1">
        <v>79.018636363636304</v>
      </c>
      <c r="E266">
        <f t="shared" si="38"/>
        <v>81.617832580731431</v>
      </c>
      <c r="F266">
        <f t="shared" si="39"/>
        <v>82.850994319249253</v>
      </c>
      <c r="G266">
        <f t="shared" si="36"/>
        <v>80.384670842213609</v>
      </c>
      <c r="H266">
        <f t="shared" si="40"/>
        <v>-1.078054182759963</v>
      </c>
      <c r="I266">
        <f t="shared" si="37"/>
        <v>79.306616659453653</v>
      </c>
      <c r="J266">
        <f t="shared" si="41"/>
        <v>-0.28798029581734852</v>
      </c>
      <c r="K266">
        <f t="shared" si="42"/>
        <v>8.2932650779047559E-2</v>
      </c>
      <c r="L266">
        <f t="shared" si="43"/>
        <v>0.28798029581734852</v>
      </c>
      <c r="M266">
        <f t="shared" si="44"/>
        <v>3.6444604598349483E-3</v>
      </c>
    </row>
    <row r="267" spans="2:13" ht="12.75" x14ac:dyDescent="0.2">
      <c r="B267" s="2">
        <v>45536</v>
      </c>
      <c r="C267" s="1">
        <v>73.057619047618999</v>
      </c>
      <c r="E267">
        <f t="shared" si="38"/>
        <v>77.624967215046226</v>
      </c>
      <c r="F267">
        <f t="shared" si="39"/>
        <v>80.413342204172011</v>
      </c>
      <c r="G267">
        <f t="shared" si="36"/>
        <v>74.836592225920441</v>
      </c>
      <c r="H267">
        <f t="shared" si="40"/>
        <v>-2.4376521150772592</v>
      </c>
      <c r="I267">
        <f t="shared" si="37"/>
        <v>72.398940110843185</v>
      </c>
      <c r="J267">
        <f t="shared" si="41"/>
        <v>0.65867893677581435</v>
      </c>
      <c r="K267">
        <f t="shared" si="42"/>
        <v>0.43385794175211723</v>
      </c>
      <c r="L267">
        <f t="shared" si="43"/>
        <v>0.65867893677581435</v>
      </c>
      <c r="M267">
        <f t="shared" si="44"/>
        <v>9.0158828793268919E-3</v>
      </c>
    </row>
    <row r="268" spans="2:13" ht="12.75" x14ac:dyDescent="0.2">
      <c r="B268" s="2">
        <v>45566</v>
      </c>
      <c r="C268" s="1">
        <v>75.266521739130397</v>
      </c>
      <c r="E268">
        <f t="shared" si="38"/>
        <v>76.524883061629396</v>
      </c>
      <c r="F268">
        <f t="shared" si="39"/>
        <v>78.5995914401189</v>
      </c>
      <c r="G268">
        <f t="shared" si="36"/>
        <v>74.450174683139892</v>
      </c>
      <c r="H268">
        <f t="shared" si="40"/>
        <v>-1.8137507640531012</v>
      </c>
      <c r="I268">
        <f t="shared" si="37"/>
        <v>72.636423919086795</v>
      </c>
      <c r="J268">
        <f t="shared" si="41"/>
        <v>2.630097820043602</v>
      </c>
      <c r="K268">
        <f t="shared" si="42"/>
        <v>6.9174145429981078</v>
      </c>
      <c r="L268">
        <f t="shared" si="43"/>
        <v>2.630097820043602</v>
      </c>
      <c r="M268">
        <f t="shared" si="44"/>
        <v>3.4943793857770862E-2</v>
      </c>
    </row>
    <row r="269" spans="2:13" ht="12.75" x14ac:dyDescent="0.2">
      <c r="B269" s="2">
        <v>45597</v>
      </c>
      <c r="C269" s="1">
        <v>73.5085714285714</v>
      </c>
      <c r="E269">
        <f t="shared" si="38"/>
        <v>75.117940792588627</v>
      </c>
      <c r="F269">
        <f t="shared" si="39"/>
        <v>76.975594301243262</v>
      </c>
      <c r="G269">
        <f t="shared" si="36"/>
        <v>73.260287283933991</v>
      </c>
      <c r="H269">
        <f t="shared" si="40"/>
        <v>-1.6239971388756385</v>
      </c>
      <c r="I269">
        <f t="shared" si="37"/>
        <v>71.636290145058354</v>
      </c>
      <c r="J269">
        <f t="shared" si="41"/>
        <v>1.8722812835130469</v>
      </c>
      <c r="K269">
        <f t="shared" si="42"/>
        <v>3.5054372045932625</v>
      </c>
      <c r="L269">
        <f t="shared" si="43"/>
        <v>1.8722812835130469</v>
      </c>
      <c r="M269">
        <f t="shared" si="44"/>
        <v>2.5470244450776069E-2</v>
      </c>
    </row>
    <row r="270" spans="2:13" ht="12.75" x14ac:dyDescent="0.2">
      <c r="B270" s="2">
        <v>45627</v>
      </c>
      <c r="C270" s="1">
        <v>73.227727272727194</v>
      </c>
      <c r="E270">
        <f t="shared" si="38"/>
        <v>74.236260905981823</v>
      </c>
      <c r="F270">
        <f t="shared" si="39"/>
        <v>75.697847035162226</v>
      </c>
      <c r="G270">
        <f t="shared" si="36"/>
        <v>72.774674776801419</v>
      </c>
      <c r="H270">
        <f t="shared" si="40"/>
        <v>-1.2777472660810307</v>
      </c>
      <c r="I270">
        <f t="shared" si="37"/>
        <v>71.496927510720383</v>
      </c>
      <c r="J270">
        <f t="shared" si="41"/>
        <v>1.7307997620068107</v>
      </c>
      <c r="K270">
        <f t="shared" si="42"/>
        <v>2.9956678161628325</v>
      </c>
      <c r="L270">
        <f t="shared" si="43"/>
        <v>1.7307997620068107</v>
      </c>
      <c r="M270">
        <f t="shared" si="44"/>
        <v>2.3635852517457916E-2</v>
      </c>
    </row>
    <row r="271" spans="2:13" ht="12.75" x14ac:dyDescent="0.2">
      <c r="B271" s="2">
        <v>45658</v>
      </c>
      <c r="C271" s="1">
        <v>78.193913043478204</v>
      </c>
      <c r="E271">
        <f t="shared" si="38"/>
        <v>76.082286368794513</v>
      </c>
      <c r="F271">
        <f t="shared" si="39"/>
        <v>75.877166685837977</v>
      </c>
      <c r="G271">
        <f t="shared" si="36"/>
        <v>76.287406051751049</v>
      </c>
      <c r="H271">
        <f t="shared" si="40"/>
        <v>0.17931965067572916</v>
      </c>
      <c r="I271">
        <f t="shared" si="37"/>
        <v>76.466725702426771</v>
      </c>
      <c r="J271">
        <f t="shared" si="41"/>
        <v>1.7271873410514331</v>
      </c>
      <c r="K271">
        <f t="shared" si="42"/>
        <v>2.9831761110883197</v>
      </c>
      <c r="L271">
        <f t="shared" si="43"/>
        <v>1.7271873410514331</v>
      </c>
      <c r="M271">
        <f t="shared" si="44"/>
        <v>2.2088513975391719E-2</v>
      </c>
    </row>
    <row r="272" spans="2:13" ht="12.75" x14ac:dyDescent="0.2">
      <c r="B272" s="2">
        <v>45689</v>
      </c>
      <c r="C272" s="1">
        <v>75.192999999999998</v>
      </c>
      <c r="E272">
        <f t="shared" si="38"/>
        <v>75.667483545430301</v>
      </c>
      <c r="F272">
        <f t="shared" si="39"/>
        <v>75.77936111756992</v>
      </c>
      <c r="G272">
        <f t="shared" si="36"/>
        <v>75.555605973290682</v>
      </c>
      <c r="H272">
        <f t="shared" si="40"/>
        <v>-9.7805568268044915E-2</v>
      </c>
      <c r="I272">
        <f t="shared" si="37"/>
        <v>75.457800405022638</v>
      </c>
      <c r="J272">
        <f t="shared" si="41"/>
        <v>-0.26480040502264046</v>
      </c>
      <c r="K272">
        <f t="shared" si="42"/>
        <v>7.0119254500154438E-2</v>
      </c>
      <c r="L272">
        <f t="shared" si="43"/>
        <v>0.26480040502264046</v>
      </c>
      <c r="M272">
        <f t="shared" si="44"/>
        <v>3.5216097911060932E-3</v>
      </c>
    </row>
    <row r="273" spans="1:14" ht="12.75" x14ac:dyDescent="0.2">
      <c r="B273" s="2">
        <v>45717</v>
      </c>
      <c r="C273" s="1">
        <v>71.7414285714285</v>
      </c>
      <c r="E273">
        <f t="shared" si="38"/>
        <v>73.836196408861866</v>
      </c>
      <c r="F273">
        <f t="shared" si="39"/>
        <v>74.872982434934286</v>
      </c>
      <c r="G273">
        <f t="shared" si="36"/>
        <v>72.799410382789446</v>
      </c>
      <c r="H273">
        <f t="shared" si="40"/>
        <v>-0.90637868263563459</v>
      </c>
      <c r="I273">
        <f t="shared" si="37"/>
        <v>71.893031700153813</v>
      </c>
      <c r="J273">
        <f t="shared" si="41"/>
        <v>-0.15160312872531279</v>
      </c>
      <c r="K273">
        <f t="shared" si="42"/>
        <v>2.2983508639303759E-2</v>
      </c>
      <c r="L273">
        <f t="shared" si="43"/>
        <v>0.15160312872531279</v>
      </c>
      <c r="M273">
        <f t="shared" si="44"/>
        <v>2.1131880385455515E-3</v>
      </c>
    </row>
    <row r="274" spans="1:14" ht="12.75" x14ac:dyDescent="0.2">
      <c r="B274" s="2">
        <v>45748</v>
      </c>
      <c r="C274" s="1">
        <v>66.927272727272694</v>
      </c>
      <c r="E274">
        <f t="shared" si="38"/>
        <v>70.613566275200995</v>
      </c>
      <c r="F274">
        <f t="shared" si="39"/>
        <v>72.886200773886713</v>
      </c>
      <c r="G274">
        <f t="shared" si="36"/>
        <v>68.340931776515276</v>
      </c>
      <c r="H274">
        <f t="shared" si="40"/>
        <v>-1.9867816610475562</v>
      </c>
      <c r="I274">
        <f t="shared" si="37"/>
        <v>66.354150115467718</v>
      </c>
      <c r="J274">
        <f t="shared" si="41"/>
        <v>0.57312261180497615</v>
      </c>
      <c r="K274">
        <f t="shared" si="42"/>
        <v>0.32846952816215741</v>
      </c>
      <c r="L274">
        <f t="shared" si="43"/>
        <v>0.57312261180497615</v>
      </c>
      <c r="M274">
        <f t="shared" si="44"/>
        <v>8.563364207898317E-3</v>
      </c>
    </row>
    <row r="275" spans="1:14" ht="12.75" x14ac:dyDescent="0.2">
      <c r="B275" s="2">
        <v>45778</v>
      </c>
      <c r="C275" s="1">
        <v>64.092727272727203</v>
      </c>
      <c r="E275">
        <f t="shared" si="38"/>
        <v>67.571956143926613</v>
      </c>
      <c r="F275">
        <f t="shared" si="39"/>
        <v>70.407400070415108</v>
      </c>
      <c r="G275">
        <f t="shared" si="36"/>
        <v>64.736512217438118</v>
      </c>
      <c r="H275">
        <f t="shared" si="40"/>
        <v>-2.4788007034716131</v>
      </c>
      <c r="I275">
        <f t="shared" si="37"/>
        <v>62.257711513966505</v>
      </c>
      <c r="J275">
        <f t="shared" si="41"/>
        <v>1.8350157587606972</v>
      </c>
      <c r="K275">
        <f t="shared" si="42"/>
        <v>3.3672828349000974</v>
      </c>
      <c r="L275">
        <f t="shared" si="43"/>
        <v>1.8350157587606972</v>
      </c>
      <c r="M275">
        <f t="shared" si="44"/>
        <v>2.8630639338412658E-2</v>
      </c>
    </row>
    <row r="276" spans="1:14" ht="12.75" x14ac:dyDescent="0.2">
      <c r="B276" s="2">
        <v>45809</v>
      </c>
      <c r="C276" s="1">
        <v>69.846666666666593</v>
      </c>
      <c r="E276">
        <f t="shared" si="38"/>
        <v>68.632982580717595</v>
      </c>
      <c r="F276">
        <f t="shared" si="39"/>
        <v>69.579732616621669</v>
      </c>
      <c r="G276">
        <f t="shared" si="36"/>
        <v>67.686232544813521</v>
      </c>
      <c r="H276">
        <f t="shared" si="40"/>
        <v>-0.82766745379343565</v>
      </c>
      <c r="I276">
        <f t="shared" si="37"/>
        <v>66.858565091020083</v>
      </c>
      <c r="J276">
        <f t="shared" si="41"/>
        <v>2.9881015756465104</v>
      </c>
      <c r="K276">
        <f t="shared" si="42"/>
        <v>8.9287510263811587</v>
      </c>
      <c r="L276">
        <f t="shared" si="43"/>
        <v>2.9881015756465104</v>
      </c>
      <c r="M276">
        <f t="shared" si="44"/>
        <v>4.2780875856349813E-2</v>
      </c>
    </row>
    <row r="277" spans="1:14" ht="12.75" x14ac:dyDescent="0.2">
      <c r="B277" s="2">
        <v>45839</v>
      </c>
      <c r="C277" s="1">
        <v>69.564782608695594</v>
      </c>
      <c r="E277">
        <f t="shared" si="38"/>
        <v>69.067615670776163</v>
      </c>
      <c r="F277">
        <f t="shared" si="39"/>
        <v>69.340858433362428</v>
      </c>
      <c r="G277">
        <f t="shared" si="36"/>
        <v>68.794372908189899</v>
      </c>
      <c r="H277">
        <f t="shared" si="40"/>
        <v>-0.2388741832592565</v>
      </c>
      <c r="I277">
        <f t="shared" si="37"/>
        <v>68.555498724930644</v>
      </c>
      <c r="J277">
        <f t="shared" si="41"/>
        <v>1.0092838837649509</v>
      </c>
      <c r="K277">
        <f t="shared" si="42"/>
        <v>1.018653958027663</v>
      </c>
      <c r="L277">
        <f t="shared" si="43"/>
        <v>1.0092838837649509</v>
      </c>
      <c r="M277">
        <f t="shared" si="44"/>
        <v>1.4508546507536853E-2</v>
      </c>
    </row>
    <row r="278" spans="1:14" ht="12.75" x14ac:dyDescent="0.2">
      <c r="B278" s="2">
        <v>45870</v>
      </c>
      <c r="C278" s="1">
        <v>67.244285714285695</v>
      </c>
      <c r="E278">
        <f t="shared" si="38"/>
        <v>68.217133261041226</v>
      </c>
      <c r="F278">
        <f t="shared" si="39"/>
        <v>68.816702896382665</v>
      </c>
      <c r="G278">
        <f t="shared" si="36"/>
        <v>67.617563625699788</v>
      </c>
      <c r="H278">
        <f t="shared" si="40"/>
        <v>-0.52415553697976036</v>
      </c>
      <c r="I278">
        <f t="shared" si="37"/>
        <v>67.093408088720025</v>
      </c>
      <c r="J278">
        <f t="shared" si="41"/>
        <v>0.15087762556566986</v>
      </c>
      <c r="K278">
        <f t="shared" si="42"/>
        <v>2.2764057896334476E-2</v>
      </c>
      <c r="L278">
        <f t="shared" si="43"/>
        <v>0.15087762556566986</v>
      </c>
      <c r="M278">
        <f t="shared" si="44"/>
        <v>2.2437241166741503E-3</v>
      </c>
    </row>
    <row r="279" spans="1:14" ht="15.75" customHeight="1" x14ac:dyDescent="0.2">
      <c r="B279" s="2">
        <v>45901</v>
      </c>
      <c r="C279" s="1">
        <v>67.609090909090895</v>
      </c>
      <c r="E279">
        <f t="shared" si="38"/>
        <v>67.933515190232484</v>
      </c>
      <c r="F279">
        <f t="shared" si="39"/>
        <v>68.404744761267807</v>
      </c>
      <c r="G279">
        <f t="shared" si="36"/>
        <v>67.462285619197161</v>
      </c>
      <c r="H279">
        <f t="shared" si="40"/>
        <v>-0.41195813511487028</v>
      </c>
      <c r="I279">
        <f t="shared" si="37"/>
        <v>67.050327484082288</v>
      </c>
      <c r="J279">
        <f t="shared" si="41"/>
        <v>0.55876342500860687</v>
      </c>
      <c r="K279">
        <f t="shared" si="42"/>
        <v>0.31221656512734902</v>
      </c>
      <c r="L279">
        <f t="shared" si="43"/>
        <v>0.55876342500860687</v>
      </c>
      <c r="M279">
        <f t="shared" si="44"/>
        <v>8.2646197056537272E-3</v>
      </c>
    </row>
    <row r="280" spans="1:14" ht="15.75" customHeight="1" x14ac:dyDescent="0.2">
      <c r="B280" s="2">
        <v>45931</v>
      </c>
      <c r="C280" s="1">
        <v>63.981304347825997</v>
      </c>
      <c r="E280">
        <f t="shared" si="38"/>
        <v>66.090027790124054</v>
      </c>
      <c r="F280">
        <f t="shared" si="39"/>
        <v>67.325057532708314</v>
      </c>
      <c r="G280">
        <f t="shared" si="36"/>
        <v>64.854998047539794</v>
      </c>
      <c r="H280">
        <f t="shared" si="40"/>
        <v>-1.0796872285594996</v>
      </c>
      <c r="I280">
        <f t="shared" si="37"/>
        <v>63.775310818980294</v>
      </c>
      <c r="J280">
        <f t="shared" si="41"/>
        <v>0.20599352884570266</v>
      </c>
      <c r="K280">
        <f t="shared" si="42"/>
        <v>4.2433333926305335E-2</v>
      </c>
      <c r="L280">
        <f t="shared" si="43"/>
        <v>0.20599352884570266</v>
      </c>
      <c r="M280">
        <f t="shared" si="44"/>
        <v>3.2195893932678485E-3</v>
      </c>
    </row>
    <row r="281" spans="1:14" ht="15.75" customHeight="1" x14ac:dyDescent="0.2">
      <c r="B281" s="2">
        <v>45962</v>
      </c>
      <c r="C281" s="1">
        <v>63.6935</v>
      </c>
      <c r="E281">
        <f t="shared" si="38"/>
        <v>64.972180346941258</v>
      </c>
      <c r="F281">
        <f t="shared" si="39"/>
        <v>66.227570678155018</v>
      </c>
      <c r="G281">
        <f t="shared" si="36"/>
        <v>63.716790015727497</v>
      </c>
      <c r="H281">
        <f t="shared" si="40"/>
        <v>-1.0974868545533052</v>
      </c>
      <c r="I281">
        <f t="shared" si="37"/>
        <v>62.619303161174194</v>
      </c>
      <c r="J281">
        <f t="shared" si="41"/>
        <v>1.0741968388258059</v>
      </c>
      <c r="K281">
        <f t="shared" si="42"/>
        <v>1.1538988485433543</v>
      </c>
      <c r="L281">
        <f t="shared" si="43"/>
        <v>1.0741968388258059</v>
      </c>
      <c r="M281">
        <f t="shared" si="44"/>
        <v>1.6865093593942958E-2</v>
      </c>
    </row>
    <row r="282" spans="1:14" ht="15.75" customHeight="1" x14ac:dyDescent="0.2">
      <c r="B282" s="2">
        <v>45992</v>
      </c>
      <c r="C282" s="1">
        <v>61.810909090909</v>
      </c>
      <c r="E282">
        <f t="shared" si="38"/>
        <v>63.497622444743939</v>
      </c>
      <c r="F282">
        <f t="shared" si="39"/>
        <v>64.954201070126402</v>
      </c>
      <c r="G282">
        <f t="shared" si="36"/>
        <v>62.041043819361477</v>
      </c>
      <c r="H282">
        <f t="shared" si="40"/>
        <v>-1.2733696080286123</v>
      </c>
      <c r="I282">
        <f t="shared" si="37"/>
        <v>60.767674211332867</v>
      </c>
      <c r="J282">
        <f t="shared" si="41"/>
        <v>1.0432348795761328</v>
      </c>
      <c r="K282">
        <f t="shared" si="42"/>
        <v>1.0883390139642284</v>
      </c>
      <c r="L282">
        <f t="shared" si="43"/>
        <v>1.0432348795761328</v>
      </c>
      <c r="M282">
        <f t="shared" si="44"/>
        <v>1.6877843974787442E-2</v>
      </c>
    </row>
    <row r="283" spans="1:14" ht="15.75" customHeight="1" x14ac:dyDescent="0.2">
      <c r="A283">
        <v>1</v>
      </c>
      <c r="B283" s="2">
        <v>46023</v>
      </c>
      <c r="C283" s="1">
        <v>64.594090909090895</v>
      </c>
      <c r="E283">
        <f t="shared" si="38"/>
        <v>64.009064237512533</v>
      </c>
      <c r="F283">
        <f t="shared" si="39"/>
        <v>64.513347099582376</v>
      </c>
      <c r="G283">
        <f t="shared" si="36"/>
        <v>63.50478137544269</v>
      </c>
      <c r="H283">
        <f t="shared" si="40"/>
        <v>-0.44085397054402914</v>
      </c>
      <c r="I283">
        <f t="shared" si="37"/>
        <v>63.063927404898664</v>
      </c>
      <c r="J283">
        <f t="shared" si="41"/>
        <v>1.530163504192231</v>
      </c>
      <c r="K283">
        <f t="shared" si="42"/>
        <v>2.3414003495618476</v>
      </c>
      <c r="L283">
        <f t="shared" si="43"/>
        <v>1.530163504192231</v>
      </c>
      <c r="M283">
        <f t="shared" si="44"/>
        <v>2.3688908422687897E-2</v>
      </c>
      <c r="N283">
        <f>I283</f>
        <v>63.063927404898664</v>
      </c>
    </row>
    <row r="284" spans="1:14" ht="15.75" customHeight="1" x14ac:dyDescent="0.2">
      <c r="A284">
        <v>2</v>
      </c>
      <c r="B284" s="2">
        <v>46054</v>
      </c>
      <c r="N284">
        <f>$G$283+$H$283*A284</f>
        <v>62.62307343435463</v>
      </c>
    </row>
    <row r="285" spans="1:14" ht="15.75" customHeight="1" x14ac:dyDescent="0.2">
      <c r="A285">
        <v>3</v>
      </c>
      <c r="B285" s="2">
        <v>46082</v>
      </c>
      <c r="N285">
        <f t="shared" ref="N285:N288" si="45">$G$283+$H$283*A285</f>
        <v>62.182219463810604</v>
      </c>
    </row>
    <row r="286" spans="1:14" ht="15.75" customHeight="1" x14ac:dyDescent="0.2">
      <c r="A286">
        <v>4</v>
      </c>
      <c r="B286" s="2">
        <v>46113</v>
      </c>
      <c r="N286">
        <f t="shared" si="45"/>
        <v>61.741365493266571</v>
      </c>
    </row>
    <row r="287" spans="1:14" ht="15.75" customHeight="1" x14ac:dyDescent="0.2">
      <c r="A287">
        <v>5</v>
      </c>
      <c r="B287" s="2">
        <v>46143</v>
      </c>
      <c r="N287">
        <f t="shared" si="45"/>
        <v>61.300511522722545</v>
      </c>
    </row>
    <row r="288" spans="1:14" ht="15.75" customHeight="1" x14ac:dyDescent="0.2">
      <c r="A288">
        <v>6</v>
      </c>
      <c r="B288" s="2">
        <v>46174</v>
      </c>
      <c r="N288">
        <f t="shared" si="45"/>
        <v>60.859657552178518</v>
      </c>
    </row>
    <row r="289" spans="2:2" ht="15.75" customHeight="1" x14ac:dyDescent="0.2">
      <c r="B289" s="2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025" r:id="rId3">
          <objectPr defaultSize="0" autoPict="0" r:id="rId4">
            <anchor moveWithCells="1">
              <from>
                <xdr:col>14</xdr:col>
                <xdr:colOff>819150</xdr:colOff>
                <xdr:row>0</xdr:row>
                <xdr:rowOff>19050</xdr:rowOff>
              </from>
              <to>
                <xdr:col>17</xdr:col>
                <xdr:colOff>762000</xdr:colOff>
                <xdr:row>3</xdr:row>
                <xdr:rowOff>19050</xdr:rowOff>
              </to>
            </anchor>
          </objectPr>
        </oleObject>
      </mc:Choice>
      <mc:Fallback>
        <oleObject progId="Equation.3" shapeId="1025" r:id="rId3"/>
      </mc:Fallback>
    </mc:AlternateContent>
    <mc:AlternateContent xmlns:mc="http://schemas.openxmlformats.org/markup-compatibility/2006">
      <mc:Choice Requires="x14">
        <oleObject progId="Equation.3" shapeId="1026" r:id="rId5">
          <objectPr defaultSize="0" autoPict="0" r:id="rId6">
            <anchor moveWithCells="1">
              <from>
                <xdr:col>18</xdr:col>
                <xdr:colOff>76200</xdr:colOff>
                <xdr:row>0</xdr:row>
                <xdr:rowOff>19050</xdr:rowOff>
              </from>
              <to>
                <xdr:col>20</xdr:col>
                <xdr:colOff>828675</xdr:colOff>
                <xdr:row>2</xdr:row>
                <xdr:rowOff>85725</xdr:rowOff>
              </to>
            </anchor>
          </objectPr>
        </oleObject>
      </mc:Choice>
      <mc:Fallback>
        <oleObject progId="Equation.3" shapeId="1026" r:id="rId5"/>
      </mc:Fallback>
    </mc:AlternateContent>
    <mc:AlternateContent xmlns:mc="http://schemas.openxmlformats.org/markup-compatibility/2006">
      <mc:Choice Requires="x14">
        <oleObject progId="Equation.3" shapeId="1027" r:id="rId7">
          <objectPr defaultSize="0" autoPict="0" r:id="rId8">
            <anchor moveWithCells="1">
              <from>
                <xdr:col>21</xdr:col>
                <xdr:colOff>114300</xdr:colOff>
                <xdr:row>0</xdr:row>
                <xdr:rowOff>19050</xdr:rowOff>
              </from>
              <to>
                <xdr:col>23</xdr:col>
                <xdr:colOff>95250</xdr:colOff>
                <xdr:row>2</xdr:row>
                <xdr:rowOff>38100</xdr:rowOff>
              </to>
            </anchor>
          </objectPr>
        </oleObject>
      </mc:Choice>
      <mc:Fallback>
        <oleObject progId="Equation.3" shapeId="1027" r:id="rId7"/>
      </mc:Fallback>
    </mc:AlternateContent>
    <mc:AlternateContent xmlns:mc="http://schemas.openxmlformats.org/markup-compatibility/2006">
      <mc:Choice Requires="x14">
        <oleObject progId="Equation.3" shapeId="1028" r:id="rId9">
          <objectPr defaultSize="0" autoPict="0" r:id="rId10">
            <anchor moveWithCells="1">
              <from>
                <xdr:col>14</xdr:col>
                <xdr:colOff>819150</xdr:colOff>
                <xdr:row>4</xdr:row>
                <xdr:rowOff>19050</xdr:rowOff>
              </from>
              <to>
                <xdr:col>16</xdr:col>
                <xdr:colOff>466725</xdr:colOff>
                <xdr:row>5</xdr:row>
                <xdr:rowOff>180975</xdr:rowOff>
              </to>
            </anchor>
          </objectPr>
        </oleObject>
      </mc:Choice>
      <mc:Fallback>
        <oleObject progId="Equation.3" shapeId="1028" r:id="rId9"/>
      </mc:Fallback>
    </mc:AlternateContent>
    <mc:AlternateContent xmlns:mc="http://schemas.openxmlformats.org/markup-compatibility/2006">
      <mc:Choice Requires="x14">
        <oleObject progId="Equation.3" shapeId="1029" r:id="rId11">
          <objectPr defaultSize="0" autoPict="0" r:id="rId12">
            <anchor moveWithCells="1">
              <from>
                <xdr:col>16</xdr:col>
                <xdr:colOff>609600</xdr:colOff>
                <xdr:row>4</xdr:row>
                <xdr:rowOff>9525</xdr:rowOff>
              </from>
              <to>
                <xdr:col>18</xdr:col>
                <xdr:colOff>447675</xdr:colOff>
                <xdr:row>7</xdr:row>
                <xdr:rowOff>0</xdr:rowOff>
              </to>
            </anchor>
          </objectPr>
        </oleObject>
      </mc:Choice>
      <mc:Fallback>
        <oleObject progId="Equation.3" shapeId="1029" r:id="rId11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C6C6-27E6-48B0-9E75-40E87486ABEF}">
  <dimension ref="A2:L288"/>
  <sheetViews>
    <sheetView workbookViewId="0">
      <selection activeCell="L6" sqref="L6"/>
    </sheetView>
  </sheetViews>
  <sheetFormatPr baseColWidth="10" defaultRowHeight="12.75" x14ac:dyDescent="0.2"/>
  <cols>
    <col min="9" max="9" width="12.28515625" bestFit="1" customWidth="1"/>
  </cols>
  <sheetData>
    <row r="2" spans="2:12" x14ac:dyDescent="0.2">
      <c r="B2" t="s">
        <v>11</v>
      </c>
      <c r="C2">
        <v>0.99</v>
      </c>
      <c r="H2" t="s">
        <v>12</v>
      </c>
      <c r="I2">
        <f>AVERAGE(I8:I283)</f>
        <v>8.4173961681868234E-2</v>
      </c>
      <c r="K2" t="s">
        <v>14</v>
      </c>
      <c r="L2">
        <f>AVERAGE(J8:J283)</f>
        <v>0.22784699408107345</v>
      </c>
    </row>
    <row r="3" spans="2:12" x14ac:dyDescent="0.2">
      <c r="B3" t="s">
        <v>17</v>
      </c>
      <c r="C3">
        <v>0.01</v>
      </c>
      <c r="H3" t="s">
        <v>13</v>
      </c>
      <c r="I3">
        <f>SQRT(I2)</f>
        <v>0.29012749211660077</v>
      </c>
      <c r="K3" t="s">
        <v>15</v>
      </c>
      <c r="L3" s="8">
        <f>AVERAGE(K8:K283)</f>
        <v>3.0211084052413043E-3</v>
      </c>
    </row>
    <row r="6" spans="2:12" ht="21" x14ac:dyDescent="0.35">
      <c r="B6" s="1" t="s">
        <v>0</v>
      </c>
      <c r="C6" s="1" t="s">
        <v>1</v>
      </c>
      <c r="E6" s="10" t="s">
        <v>18</v>
      </c>
      <c r="F6" s="10" t="s">
        <v>19</v>
      </c>
      <c r="G6" s="11" t="s">
        <v>20</v>
      </c>
      <c r="H6" s="12" t="s">
        <v>21</v>
      </c>
      <c r="I6" s="10" t="s">
        <v>22</v>
      </c>
      <c r="J6" s="13" t="s">
        <v>23</v>
      </c>
      <c r="K6" s="13" t="s">
        <v>24</v>
      </c>
    </row>
    <row r="7" spans="2:12" x14ac:dyDescent="0.2">
      <c r="B7" s="2">
        <v>37622</v>
      </c>
      <c r="C7" s="1">
        <v>30.808695652173899</v>
      </c>
      <c r="E7">
        <f>C7</f>
        <v>30.808695652173899</v>
      </c>
      <c r="G7">
        <f>E7+F7</f>
        <v>30.808695652173899</v>
      </c>
    </row>
    <row r="8" spans="2:12" x14ac:dyDescent="0.2">
      <c r="B8" s="2">
        <v>37653</v>
      </c>
      <c r="C8" s="1">
        <v>32.662500000000001</v>
      </c>
      <c r="E8">
        <f>$C$2*C8+(1-$C$2)*(E7+F7)</f>
        <v>32.643961956521743</v>
      </c>
      <c r="F8">
        <f>$C$3*(E8-E7)+(1-$C$3)*F7</f>
        <v>1.8352663043478438E-2</v>
      </c>
      <c r="G8">
        <f t="shared" ref="G8:G71" si="0">E8+F8</f>
        <v>32.662314619565223</v>
      </c>
      <c r="I8">
        <f t="shared" ref="I8:I39" si="1">POWER(C8-G8,2)</f>
        <v>3.4365905598811151E-8</v>
      </c>
      <c r="J8">
        <f>ABS(C8-G8)</f>
        <v>1.8538043477889232E-4</v>
      </c>
      <c r="K8">
        <f>J8/C8</f>
        <v>5.6756352018030563E-6</v>
      </c>
    </row>
    <row r="9" spans="2:12" x14ac:dyDescent="0.2">
      <c r="B9" s="2">
        <v>37681</v>
      </c>
      <c r="C9" s="1">
        <v>30.168095238095201</v>
      </c>
      <c r="E9">
        <f t="shared" ref="E9:E72" si="2">$C$2*C9+(1-$C$2)*(E8+F8)</f>
        <v>30.1930374319099</v>
      </c>
      <c r="F9">
        <f t="shared" ref="F9:F72" si="3">$C$3*(E9-E8)+(1-$C$3)*F8</f>
        <v>-6.3401088330747729E-3</v>
      </c>
      <c r="G9">
        <f t="shared" si="0"/>
        <v>30.186697323076825</v>
      </c>
      <c r="I9">
        <f t="shared" si="1"/>
        <v>3.4603756566352692E-4</v>
      </c>
      <c r="J9">
        <f t="shared" ref="J9:J72" si="4">ABS(C9-G9)</f>
        <v>1.8602084981623079E-2</v>
      </c>
      <c r="K9">
        <f t="shared" ref="K9:K72" si="5">J9/C9</f>
        <v>6.1661450067729251E-4</v>
      </c>
    </row>
    <row r="10" spans="2:12" x14ac:dyDescent="0.2">
      <c r="B10" s="2">
        <v>37712</v>
      </c>
      <c r="C10" s="1">
        <v>25.035</v>
      </c>
      <c r="E10">
        <f t="shared" si="2"/>
        <v>25.086516973230768</v>
      </c>
      <c r="F10">
        <f t="shared" si="3"/>
        <v>-5.7341912331535343E-2</v>
      </c>
      <c r="G10">
        <f t="shared" si="0"/>
        <v>25.029175060899234</v>
      </c>
      <c r="I10">
        <f t="shared" si="1"/>
        <v>3.3929915527628501E-5</v>
      </c>
      <c r="J10">
        <f t="shared" si="4"/>
        <v>5.824939100765647E-3</v>
      </c>
      <c r="K10">
        <f t="shared" si="5"/>
        <v>2.3267182347775701E-4</v>
      </c>
    </row>
    <row r="11" spans="2:12" x14ac:dyDescent="0.2">
      <c r="B11" s="2">
        <v>37742</v>
      </c>
      <c r="C11" s="1">
        <v>25.714545454545402</v>
      </c>
      <c r="E11">
        <f t="shared" si="2"/>
        <v>25.707691750608937</v>
      </c>
      <c r="F11">
        <f t="shared" si="3"/>
        <v>-5.0556745434438298E-2</v>
      </c>
      <c r="G11">
        <f t="shared" si="0"/>
        <v>25.657135005174499</v>
      </c>
      <c r="I11">
        <f t="shared" si="1"/>
        <v>3.2959596969689281E-3</v>
      </c>
      <c r="J11">
        <f t="shared" si="4"/>
        <v>5.7410449370902228E-2</v>
      </c>
      <c r="K11">
        <f t="shared" si="5"/>
        <v>2.2326060350700903E-3</v>
      </c>
    </row>
    <row r="12" spans="2:12" x14ac:dyDescent="0.2">
      <c r="B12" s="2">
        <v>37773</v>
      </c>
      <c r="C12" s="1">
        <v>27.566666666666599</v>
      </c>
      <c r="E12">
        <f t="shared" si="2"/>
        <v>27.54757135005168</v>
      </c>
      <c r="F12">
        <f t="shared" si="3"/>
        <v>-3.1652381985666493E-2</v>
      </c>
      <c r="G12">
        <f t="shared" si="0"/>
        <v>27.515918968066014</v>
      </c>
      <c r="I12">
        <f t="shared" si="1"/>
        <v>2.5753289132557978E-3</v>
      </c>
      <c r="J12">
        <f t="shared" si="4"/>
        <v>5.0747698600584812E-2</v>
      </c>
      <c r="K12">
        <f t="shared" si="5"/>
        <v>1.8409080508071925E-3</v>
      </c>
    </row>
    <row r="13" spans="2:12" x14ac:dyDescent="0.2">
      <c r="B13" s="2">
        <v>37803</v>
      </c>
      <c r="C13" s="1">
        <v>28.5039130434782</v>
      </c>
      <c r="E13">
        <f t="shared" si="2"/>
        <v>28.494033102724078</v>
      </c>
      <c r="F13">
        <f t="shared" si="3"/>
        <v>-2.187124063908584E-2</v>
      </c>
      <c r="G13">
        <f t="shared" si="0"/>
        <v>28.472161862084992</v>
      </c>
      <c r="I13">
        <f t="shared" si="1"/>
        <v>1.0081375198643899E-3</v>
      </c>
      <c r="J13">
        <f t="shared" si="4"/>
        <v>3.1751181393207872E-2</v>
      </c>
      <c r="K13">
        <f t="shared" si="5"/>
        <v>1.113923598657366E-3</v>
      </c>
    </row>
    <row r="14" spans="2:12" x14ac:dyDescent="0.2">
      <c r="B14" s="2">
        <v>37834</v>
      </c>
      <c r="C14" s="1">
        <v>29.718095238095199</v>
      </c>
      <c r="E14">
        <f t="shared" si="2"/>
        <v>29.705635904335097</v>
      </c>
      <c r="F14">
        <f t="shared" si="3"/>
        <v>-9.5365002165847968E-3</v>
      </c>
      <c r="G14">
        <f t="shared" si="0"/>
        <v>29.696099404118513</v>
      </c>
      <c r="I14">
        <f t="shared" si="1"/>
        <v>4.8381671232991118E-4</v>
      </c>
      <c r="J14">
        <f t="shared" si="4"/>
        <v>2.1995833976685475E-2</v>
      </c>
      <c r="K14">
        <f t="shared" si="5"/>
        <v>7.4014952171259387E-4</v>
      </c>
    </row>
    <row r="15" spans="2:12" x14ac:dyDescent="0.2">
      <c r="B15" s="2">
        <v>37865</v>
      </c>
      <c r="C15" s="1">
        <v>27.044090909090901</v>
      </c>
      <c r="E15">
        <f t="shared" si="2"/>
        <v>27.070610994041179</v>
      </c>
      <c r="F15">
        <f t="shared" si="3"/>
        <v>-3.5791384317358128E-2</v>
      </c>
      <c r="G15">
        <f t="shared" si="0"/>
        <v>27.034819609723819</v>
      </c>
      <c r="I15">
        <f t="shared" si="1"/>
        <v>8.5956991954059991E-5</v>
      </c>
      <c r="J15">
        <f t="shared" si="4"/>
        <v>9.2712993670822641E-3</v>
      </c>
      <c r="K15">
        <f t="shared" si="5"/>
        <v>3.4282163147017475E-4</v>
      </c>
    </row>
    <row r="16" spans="2:12" x14ac:dyDescent="0.2">
      <c r="B16" s="2">
        <v>37895</v>
      </c>
      <c r="C16" s="1">
        <v>29.435652173912999</v>
      </c>
      <c r="E16">
        <f t="shared" si="2"/>
        <v>29.411643848271108</v>
      </c>
      <c r="F16">
        <f t="shared" si="3"/>
        <v>-1.2023141931885251E-2</v>
      </c>
      <c r="G16">
        <f t="shared" si="0"/>
        <v>29.399620706339224</v>
      </c>
      <c r="I16">
        <f t="shared" si="1"/>
        <v>1.2982666555199801E-3</v>
      </c>
      <c r="J16">
        <f t="shared" si="4"/>
        <v>3.6031467573774734E-2</v>
      </c>
      <c r="K16">
        <f t="shared" si="5"/>
        <v>1.2240757351286817E-3</v>
      </c>
    </row>
    <row r="17" spans="2:11" x14ac:dyDescent="0.2">
      <c r="B17" s="2">
        <v>37926</v>
      </c>
      <c r="C17" s="1">
        <v>28.948499999999999</v>
      </c>
      <c r="E17">
        <f t="shared" si="2"/>
        <v>28.953011207063394</v>
      </c>
      <c r="F17">
        <f t="shared" si="3"/>
        <v>-1.648923692464354E-2</v>
      </c>
      <c r="G17">
        <f t="shared" si="0"/>
        <v>28.936521970138749</v>
      </c>
      <c r="I17">
        <f t="shared" si="1"/>
        <v>1.4347319935700641E-4</v>
      </c>
      <c r="J17">
        <f t="shared" si="4"/>
        <v>1.1978029861250405E-2</v>
      </c>
      <c r="K17">
        <f t="shared" si="5"/>
        <v>4.1377031145829339E-4</v>
      </c>
    </row>
    <row r="18" spans="2:11" x14ac:dyDescent="0.2">
      <c r="B18" s="2">
        <v>37956</v>
      </c>
      <c r="C18" s="1">
        <v>29.743478260869502</v>
      </c>
      <c r="E18">
        <f t="shared" si="2"/>
        <v>29.735408697962193</v>
      </c>
      <c r="F18">
        <f t="shared" si="3"/>
        <v>-8.5003696464091196E-3</v>
      </c>
      <c r="G18">
        <f t="shared" si="0"/>
        <v>29.726908328315783</v>
      </c>
      <c r="I18">
        <f t="shared" si="1"/>
        <v>2.7456266483477356E-4</v>
      </c>
      <c r="J18">
        <f t="shared" si="4"/>
        <v>1.6569932553718303E-2</v>
      </c>
      <c r="K18">
        <f t="shared" si="5"/>
        <v>5.5709464805660247E-4</v>
      </c>
    </row>
    <row r="19" spans="2:11" x14ac:dyDescent="0.2">
      <c r="B19" s="2">
        <v>37987</v>
      </c>
      <c r="C19" s="1">
        <v>30.981818181818099</v>
      </c>
      <c r="E19">
        <f t="shared" si="2"/>
        <v>30.969269083283077</v>
      </c>
      <c r="F19">
        <f t="shared" si="3"/>
        <v>3.9232379032638175E-3</v>
      </c>
      <c r="G19">
        <f t="shared" si="0"/>
        <v>30.973192321186342</v>
      </c>
      <c r="I19">
        <f t="shared" si="1"/>
        <v>7.4405471638485092E-5</v>
      </c>
      <c r="J19">
        <f t="shared" si="4"/>
        <v>8.6258606317564102E-3</v>
      </c>
      <c r="K19">
        <f t="shared" si="5"/>
        <v>2.784168631142041E-4</v>
      </c>
    </row>
    <row r="20" spans="2:11" x14ac:dyDescent="0.2">
      <c r="B20" s="2">
        <v>38018</v>
      </c>
      <c r="C20" s="1">
        <v>30.795000000000002</v>
      </c>
      <c r="E20">
        <f t="shared" si="2"/>
        <v>30.796781923211864</v>
      </c>
      <c r="F20">
        <f t="shared" si="3"/>
        <v>2.1591339235190448E-3</v>
      </c>
      <c r="G20">
        <f t="shared" si="0"/>
        <v>30.798941057135384</v>
      </c>
      <c r="I20">
        <f t="shared" si="1"/>
        <v>1.553193134434501E-5</v>
      </c>
      <c r="J20">
        <f t="shared" si="4"/>
        <v>3.9410571353819535E-3</v>
      </c>
      <c r="K20">
        <f t="shared" si="5"/>
        <v>1.2797717601500093E-4</v>
      </c>
    </row>
    <row r="21" spans="2:11" x14ac:dyDescent="0.2">
      <c r="B21" s="2">
        <v>38047</v>
      </c>
      <c r="C21" s="1">
        <v>33.424347826086901</v>
      </c>
      <c r="E21">
        <f t="shared" si="2"/>
        <v>33.398093758397387</v>
      </c>
      <c r="F21">
        <f t="shared" si="3"/>
        <v>2.8150660936139087E-2</v>
      </c>
      <c r="G21">
        <f t="shared" si="0"/>
        <v>33.426244419333528</v>
      </c>
      <c r="I21">
        <f t="shared" si="1"/>
        <v>3.597065943152192E-6</v>
      </c>
      <c r="J21">
        <f t="shared" si="4"/>
        <v>1.8965932466272761E-3</v>
      </c>
      <c r="K21">
        <f t="shared" si="5"/>
        <v>5.6742864707356554E-5</v>
      </c>
    </row>
    <row r="22" spans="2:11" x14ac:dyDescent="0.2">
      <c r="B22" s="2">
        <v>38078</v>
      </c>
      <c r="C22" s="1">
        <v>33.357727272727203</v>
      </c>
      <c r="E22">
        <f t="shared" si="2"/>
        <v>33.358412444193263</v>
      </c>
      <c r="F22">
        <f t="shared" si="3"/>
        <v>2.7472341184736456E-2</v>
      </c>
      <c r="G22">
        <f t="shared" si="0"/>
        <v>33.385884785377996</v>
      </c>
      <c r="I22">
        <f t="shared" si="1"/>
        <v>7.9284551867957556E-4</v>
      </c>
      <c r="J22">
        <f t="shared" si="4"/>
        <v>2.8157512650793137E-2</v>
      </c>
      <c r="K22">
        <f t="shared" si="5"/>
        <v>8.4410764620089431E-4</v>
      </c>
    </row>
    <row r="23" spans="2:11" x14ac:dyDescent="0.2">
      <c r="B23" s="2">
        <v>38108</v>
      </c>
      <c r="C23" s="1">
        <v>37.589047619047598</v>
      </c>
      <c r="E23">
        <f t="shared" si="2"/>
        <v>37.547015990710904</v>
      </c>
      <c r="F23">
        <f t="shared" si="3"/>
        <v>6.9083653238065493E-2</v>
      </c>
      <c r="G23">
        <f t="shared" si="0"/>
        <v>37.616099643948971</v>
      </c>
      <c r="I23">
        <f t="shared" si="1"/>
        <v>7.3181205126449502E-4</v>
      </c>
      <c r="J23">
        <f t="shared" si="4"/>
        <v>2.7052024901372818E-2</v>
      </c>
      <c r="K23">
        <f t="shared" si="5"/>
        <v>7.1967838013710871E-4</v>
      </c>
    </row>
    <row r="24" spans="2:11" x14ac:dyDescent="0.2">
      <c r="B24" s="2">
        <v>38139</v>
      </c>
      <c r="C24" s="1">
        <v>35.437727272727201</v>
      </c>
      <c r="E24">
        <f t="shared" si="2"/>
        <v>35.45951099643942</v>
      </c>
      <c r="F24">
        <f t="shared" si="3"/>
        <v>4.7517766762969996E-2</v>
      </c>
      <c r="G24">
        <f t="shared" si="0"/>
        <v>35.507028763202392</v>
      </c>
      <c r="I24">
        <f t="shared" si="1"/>
        <v>4.8026965820829222E-3</v>
      </c>
      <c r="J24">
        <f t="shared" si="4"/>
        <v>6.9301490475190519E-2</v>
      </c>
      <c r="K24">
        <f t="shared" si="5"/>
        <v>1.9555850729887185E-3</v>
      </c>
    </row>
    <row r="25" spans="2:11" x14ac:dyDescent="0.2">
      <c r="B25" s="2">
        <v>38169</v>
      </c>
      <c r="C25" s="1">
        <v>38.226818181818103</v>
      </c>
      <c r="E25">
        <f t="shared" si="2"/>
        <v>38.199620287631944</v>
      </c>
      <c r="F25">
        <f t="shared" si="3"/>
        <v>7.4443682007265533E-2</v>
      </c>
      <c r="G25">
        <f t="shared" si="0"/>
        <v>38.274063969639208</v>
      </c>
      <c r="I25">
        <f t="shared" si="1"/>
        <v>2.2321644668368318E-3</v>
      </c>
      <c r="J25">
        <f t="shared" si="4"/>
        <v>4.7245787821104557E-2</v>
      </c>
      <c r="K25">
        <f t="shared" si="5"/>
        <v>1.2359330456536968E-3</v>
      </c>
    </row>
    <row r="26" spans="2:11" x14ac:dyDescent="0.2">
      <c r="B26" s="2">
        <v>38200</v>
      </c>
      <c r="C26" s="1">
        <v>42.224090909090897</v>
      </c>
      <c r="E26">
        <f t="shared" si="2"/>
        <v>42.184590639696381</v>
      </c>
      <c r="F26">
        <f t="shared" si="3"/>
        <v>0.11354894870783724</v>
      </c>
      <c r="G26">
        <f t="shared" si="0"/>
        <v>42.298139588404219</v>
      </c>
      <c r="I26">
        <f t="shared" si="1"/>
        <v>5.4832069080471254E-3</v>
      </c>
      <c r="J26">
        <f t="shared" si="4"/>
        <v>7.4048679313321486E-2</v>
      </c>
      <c r="K26">
        <f t="shared" si="5"/>
        <v>1.7537068938381505E-3</v>
      </c>
    </row>
    <row r="27" spans="2:11" x14ac:dyDescent="0.2">
      <c r="B27" s="2">
        <v>38231</v>
      </c>
      <c r="C27" s="1">
        <v>43.315909090909003</v>
      </c>
      <c r="E27">
        <f t="shared" si="2"/>
        <v>43.305731395883953</v>
      </c>
      <c r="F27">
        <f t="shared" si="3"/>
        <v>0.1236248667826346</v>
      </c>
      <c r="G27">
        <f t="shared" si="0"/>
        <v>43.429356262666587</v>
      </c>
      <c r="I27">
        <f t="shared" si="1"/>
        <v>1.2870260779794968E-2</v>
      </c>
      <c r="J27">
        <f t="shared" si="4"/>
        <v>0.1134471717575849</v>
      </c>
      <c r="K27">
        <f t="shared" si="5"/>
        <v>2.6190647763963196E-3</v>
      </c>
    </row>
    <row r="28" spans="2:11" x14ac:dyDescent="0.2">
      <c r="B28" s="2">
        <v>38261</v>
      </c>
      <c r="C28" s="1">
        <v>49.736190476190401</v>
      </c>
      <c r="E28">
        <f t="shared" si="2"/>
        <v>49.673122134055163</v>
      </c>
      <c r="F28">
        <f t="shared" si="3"/>
        <v>0.18606252549652036</v>
      </c>
      <c r="G28">
        <f t="shared" si="0"/>
        <v>49.85918465955168</v>
      </c>
      <c r="I28">
        <f t="shared" si="1"/>
        <v>1.5127569140707779E-2</v>
      </c>
      <c r="J28">
        <f t="shared" si="4"/>
        <v>0.12299418336127843</v>
      </c>
      <c r="K28">
        <f t="shared" si="5"/>
        <v>2.4729313239251391E-3</v>
      </c>
    </row>
    <row r="29" spans="2:11" x14ac:dyDescent="0.2">
      <c r="B29" s="2">
        <v>38292</v>
      </c>
      <c r="C29" s="1">
        <v>43.748636363636301</v>
      </c>
      <c r="E29">
        <f t="shared" si="2"/>
        <v>43.809741846595458</v>
      </c>
      <c r="F29">
        <f t="shared" si="3"/>
        <v>0.12556809736695812</v>
      </c>
      <c r="G29">
        <f t="shared" si="0"/>
        <v>43.935309943962416</v>
      </c>
      <c r="I29">
        <f t="shared" si="1"/>
        <v>3.4847025591770518E-2</v>
      </c>
      <c r="J29">
        <f t="shared" si="4"/>
        <v>0.18667358032611503</v>
      </c>
      <c r="K29">
        <f t="shared" si="5"/>
        <v>4.2669576892521701E-3</v>
      </c>
    </row>
    <row r="30" spans="2:11" x14ac:dyDescent="0.2">
      <c r="B30" s="2">
        <v>38322</v>
      </c>
      <c r="C30" s="1">
        <v>39.965652173913</v>
      </c>
      <c r="E30">
        <f t="shared" si="2"/>
        <v>40.005348751613489</v>
      </c>
      <c r="F30">
        <f t="shared" si="3"/>
        <v>8.6268485443468851E-2</v>
      </c>
      <c r="G30">
        <f t="shared" si="0"/>
        <v>40.091617237056958</v>
      </c>
      <c r="I30">
        <f t="shared" si="1"/>
        <v>1.5867197132861423E-2</v>
      </c>
      <c r="J30">
        <f t="shared" si="4"/>
        <v>0.12596506314395839</v>
      </c>
      <c r="K30">
        <f t="shared" si="5"/>
        <v>3.1518330439301639E-3</v>
      </c>
    </row>
    <row r="31" spans="2:11" x14ac:dyDescent="0.2">
      <c r="B31" s="2">
        <v>38353</v>
      </c>
      <c r="C31" s="1">
        <v>44.174761904761901</v>
      </c>
      <c r="E31">
        <f t="shared" si="2"/>
        <v>44.133930458084855</v>
      </c>
      <c r="F31">
        <f t="shared" si="3"/>
        <v>0.12669161765374781</v>
      </c>
      <c r="G31">
        <f t="shared" si="0"/>
        <v>44.260622075738603</v>
      </c>
      <c r="I31">
        <f t="shared" si="1"/>
        <v>7.3719689601484161E-3</v>
      </c>
      <c r="J31">
        <f t="shared" si="4"/>
        <v>8.5860170976701511E-2</v>
      </c>
      <c r="K31">
        <f t="shared" si="5"/>
        <v>1.9436476230887405E-3</v>
      </c>
    </row>
    <row r="32" spans="2:11" x14ac:dyDescent="0.2">
      <c r="B32" s="2">
        <v>38384</v>
      </c>
      <c r="C32" s="1">
        <v>45.720999999999997</v>
      </c>
      <c r="E32">
        <f t="shared" si="2"/>
        <v>45.706396220757377</v>
      </c>
      <c r="F32">
        <f t="shared" si="3"/>
        <v>0.14114935910393556</v>
      </c>
      <c r="G32">
        <f t="shared" si="0"/>
        <v>45.847545579861311</v>
      </c>
      <c r="I32">
        <f t="shared" si="1"/>
        <v>1.6013783782436362E-2</v>
      </c>
      <c r="J32">
        <f t="shared" si="4"/>
        <v>0.12654557986131465</v>
      </c>
      <c r="K32">
        <f t="shared" si="5"/>
        <v>2.7677780420663298E-3</v>
      </c>
    </row>
    <row r="33" spans="2:11" x14ac:dyDescent="0.2">
      <c r="B33" s="2">
        <v>38412</v>
      </c>
      <c r="C33" s="1">
        <v>53.229130434782597</v>
      </c>
      <c r="E33">
        <f t="shared" si="2"/>
        <v>53.155314586233381</v>
      </c>
      <c r="F33">
        <f t="shared" si="3"/>
        <v>0.21422704916765622</v>
      </c>
      <c r="G33">
        <f t="shared" si="0"/>
        <v>53.369541635401035</v>
      </c>
      <c r="I33">
        <f t="shared" si="1"/>
        <v>1.9715305259111162E-2</v>
      </c>
      <c r="J33">
        <f t="shared" si="4"/>
        <v>0.1404112006184377</v>
      </c>
      <c r="K33">
        <f t="shared" si="5"/>
        <v>2.6378638815163875E-3</v>
      </c>
    </row>
    <row r="34" spans="2:11" x14ac:dyDescent="0.2">
      <c r="B34" s="2">
        <v>38443</v>
      </c>
      <c r="C34" s="1">
        <v>52.604285714285702</v>
      </c>
      <c r="E34">
        <f t="shared" si="2"/>
        <v>52.611938273496861</v>
      </c>
      <c r="F34">
        <f t="shared" si="3"/>
        <v>0.20665101554861445</v>
      </c>
      <c r="G34">
        <f t="shared" si="0"/>
        <v>52.818589289045477</v>
      </c>
      <c r="I34">
        <f t="shared" si="1"/>
        <v>4.5926022154818481E-2</v>
      </c>
      <c r="J34">
        <f t="shared" si="4"/>
        <v>0.21430357475977502</v>
      </c>
      <c r="K34">
        <f t="shared" si="5"/>
        <v>4.0738805184760219E-3</v>
      </c>
    </row>
    <row r="35" spans="2:11" x14ac:dyDescent="0.2">
      <c r="B35" s="2">
        <v>38473</v>
      </c>
      <c r="C35" s="1">
        <v>49.285454545454499</v>
      </c>
      <c r="E35">
        <f t="shared" si="2"/>
        <v>49.320785892890406</v>
      </c>
      <c r="F35">
        <f t="shared" si="3"/>
        <v>0.17167298158706376</v>
      </c>
      <c r="G35">
        <f t="shared" si="0"/>
        <v>49.492458874477471</v>
      </c>
      <c r="I35">
        <f t="shared" si="1"/>
        <v>4.2850792234250826E-2</v>
      </c>
      <c r="J35">
        <f t="shared" si="4"/>
        <v>0.20700432902297194</v>
      </c>
      <c r="K35">
        <f t="shared" si="5"/>
        <v>4.2001099702156149E-3</v>
      </c>
    </row>
    <row r="36" spans="2:11" x14ac:dyDescent="0.2">
      <c r="B36" s="2">
        <v>38504</v>
      </c>
      <c r="C36" s="1">
        <v>54.839090909090899</v>
      </c>
      <c r="E36">
        <f t="shared" si="2"/>
        <v>54.78562458874476</v>
      </c>
      <c r="F36">
        <f t="shared" si="3"/>
        <v>0.22460463872973666</v>
      </c>
      <c r="G36">
        <f t="shared" si="0"/>
        <v>55.010229227474497</v>
      </c>
      <c r="I36">
        <f t="shared" si="1"/>
        <v>2.9288324019165663E-2</v>
      </c>
      <c r="J36">
        <f t="shared" si="4"/>
        <v>0.17113831838359772</v>
      </c>
      <c r="K36">
        <f t="shared" si="5"/>
        <v>3.1207358755691449E-3</v>
      </c>
    </row>
    <row r="37" spans="2:11" x14ac:dyDescent="0.2">
      <c r="B37" s="2">
        <v>38534</v>
      </c>
      <c r="C37" s="1">
        <v>57.625714285714203</v>
      </c>
      <c r="E37">
        <f t="shared" si="2"/>
        <v>57.599559435131802</v>
      </c>
      <c r="F37">
        <f t="shared" si="3"/>
        <v>0.25049794080630972</v>
      </c>
      <c r="G37">
        <f t="shared" si="0"/>
        <v>57.850057375938114</v>
      </c>
      <c r="I37">
        <f t="shared" si="1"/>
        <v>5.032982213121396E-2</v>
      </c>
      <c r="J37">
        <f t="shared" si="4"/>
        <v>0.22434309022391119</v>
      </c>
      <c r="K37">
        <f t="shared" si="5"/>
        <v>3.8931073220471531E-3</v>
      </c>
    </row>
    <row r="38" spans="2:11" x14ac:dyDescent="0.2">
      <c r="B38" s="2">
        <v>38565</v>
      </c>
      <c r="C38" s="1">
        <v>63.950434782608703</v>
      </c>
      <c r="E38">
        <f t="shared" si="2"/>
        <v>63.889431008541997</v>
      </c>
      <c r="F38">
        <f t="shared" si="3"/>
        <v>0.31089167713234855</v>
      </c>
      <c r="G38">
        <f t="shared" si="0"/>
        <v>64.200322685674351</v>
      </c>
      <c r="I38">
        <f t="shared" si="1"/>
        <v>6.2443964098546807E-2</v>
      </c>
      <c r="J38">
        <f t="shared" si="4"/>
        <v>0.24988790306564823</v>
      </c>
      <c r="K38">
        <f t="shared" si="5"/>
        <v>3.9075246933834009E-3</v>
      </c>
    </row>
    <row r="39" spans="2:11" x14ac:dyDescent="0.2">
      <c r="B39" s="2">
        <v>38596</v>
      </c>
      <c r="C39" s="1">
        <v>63.261363636363598</v>
      </c>
      <c r="E39">
        <f t="shared" si="2"/>
        <v>63.270753226856705</v>
      </c>
      <c r="F39">
        <f t="shared" si="3"/>
        <v>0.30159598254417214</v>
      </c>
      <c r="G39">
        <f t="shared" si="0"/>
        <v>63.572349209400876</v>
      </c>
      <c r="I39">
        <f t="shared" si="1"/>
        <v>9.6712026637324533E-2</v>
      </c>
      <c r="J39">
        <f t="shared" si="4"/>
        <v>0.31098557303727858</v>
      </c>
      <c r="K39">
        <f t="shared" si="5"/>
        <v>4.9158847543166037E-3</v>
      </c>
    </row>
    <row r="40" spans="2:11" x14ac:dyDescent="0.2">
      <c r="B40" s="2">
        <v>38626</v>
      </c>
      <c r="C40" s="1">
        <v>58.908571428571399</v>
      </c>
      <c r="E40">
        <f t="shared" si="2"/>
        <v>58.955209206379692</v>
      </c>
      <c r="F40">
        <f t="shared" si="3"/>
        <v>0.25542458251396027</v>
      </c>
      <c r="G40">
        <f t="shared" si="0"/>
        <v>59.210633788893652</v>
      </c>
      <c r="I40">
        <f t="shared" ref="I40:I71" si="6">POWER(C40-G40,2)</f>
        <v>9.1241669523450725E-2</v>
      </c>
      <c r="J40">
        <f t="shared" si="4"/>
        <v>0.3020623603222532</v>
      </c>
      <c r="K40">
        <f t="shared" si="5"/>
        <v>5.1276470129395998E-3</v>
      </c>
    </row>
    <row r="41" spans="2:11" x14ac:dyDescent="0.2">
      <c r="B41" s="2">
        <v>38657</v>
      </c>
      <c r="C41" s="1">
        <v>55.449545454545401</v>
      </c>
      <c r="E41">
        <f t="shared" si="2"/>
        <v>55.487156337888884</v>
      </c>
      <c r="F41">
        <f t="shared" si="3"/>
        <v>0.21818980800391261</v>
      </c>
      <c r="G41">
        <f t="shared" si="0"/>
        <v>55.705346145892797</v>
      </c>
      <c r="I41">
        <f t="shared" si="6"/>
        <v>6.5433993693805773E-2</v>
      </c>
      <c r="J41">
        <f t="shared" si="4"/>
        <v>0.25580069134739603</v>
      </c>
      <c r="K41">
        <f t="shared" si="5"/>
        <v>4.6132152978077675E-3</v>
      </c>
    </row>
    <row r="42" spans="2:11" x14ac:dyDescent="0.2">
      <c r="B42" s="2">
        <v>38687</v>
      </c>
      <c r="C42" s="1">
        <v>57.156818181818103</v>
      </c>
      <c r="E42">
        <f t="shared" si="2"/>
        <v>57.142303461458852</v>
      </c>
      <c r="F42">
        <f t="shared" si="3"/>
        <v>0.23255938115957314</v>
      </c>
      <c r="G42">
        <f t="shared" si="0"/>
        <v>57.374862842618427</v>
      </c>
      <c r="I42">
        <f t="shared" si="6"/>
        <v>4.7543474103528216E-2</v>
      </c>
      <c r="J42">
        <f t="shared" si="4"/>
        <v>0.2180446608003237</v>
      </c>
      <c r="K42">
        <f t="shared" si="5"/>
        <v>3.8148495269053465E-3</v>
      </c>
    </row>
    <row r="43" spans="2:11" x14ac:dyDescent="0.2">
      <c r="B43" s="2">
        <v>38718</v>
      </c>
      <c r="C43" s="1">
        <v>63.311818181818097</v>
      </c>
      <c r="E43">
        <f t="shared" si="2"/>
        <v>63.252448628426102</v>
      </c>
      <c r="F43">
        <f t="shared" si="3"/>
        <v>0.29133523901764991</v>
      </c>
      <c r="G43">
        <f t="shared" si="0"/>
        <v>63.54378386744375</v>
      </c>
      <c r="I43">
        <f t="shared" si="6"/>
        <v>5.3808079307779227E-2</v>
      </c>
      <c r="J43">
        <f t="shared" si="4"/>
        <v>0.2319656856256529</v>
      </c>
      <c r="K43">
        <f t="shared" si="5"/>
        <v>3.6638607496549333E-3</v>
      </c>
    </row>
    <row r="44" spans="2:11" x14ac:dyDescent="0.2">
      <c r="B44" s="2">
        <v>38749</v>
      </c>
      <c r="C44" s="1">
        <v>60.805500000000002</v>
      </c>
      <c r="E44">
        <f t="shared" si="2"/>
        <v>60.832882838674443</v>
      </c>
      <c r="F44">
        <f t="shared" si="3"/>
        <v>0.26422622872995682</v>
      </c>
      <c r="G44">
        <f t="shared" si="0"/>
        <v>61.097109067404404</v>
      </c>
      <c r="I44">
        <f t="shared" si="6"/>
        <v>8.5035848192464722E-2</v>
      </c>
      <c r="J44">
        <f t="shared" si="4"/>
        <v>0.2916090674044014</v>
      </c>
      <c r="K44">
        <f t="shared" si="5"/>
        <v>4.7957679388279254E-3</v>
      </c>
    </row>
    <row r="45" spans="2:11" x14ac:dyDescent="0.2">
      <c r="B45" s="2">
        <v>38777</v>
      </c>
      <c r="C45" s="1">
        <v>62.746956521739101</v>
      </c>
      <c r="E45">
        <f t="shared" si="2"/>
        <v>62.730458047195754</v>
      </c>
      <c r="F45">
        <f t="shared" si="3"/>
        <v>0.28055971852787037</v>
      </c>
      <c r="G45">
        <f t="shared" si="0"/>
        <v>63.011017765723622</v>
      </c>
      <c r="I45">
        <f t="shared" si="6"/>
        <v>6.9728340574652908E-2</v>
      </c>
      <c r="J45">
        <f t="shared" si="4"/>
        <v>0.26406124398452135</v>
      </c>
      <c r="K45">
        <f t="shared" si="5"/>
        <v>4.2083514264637774E-3</v>
      </c>
    </row>
    <row r="46" spans="2:11" x14ac:dyDescent="0.2">
      <c r="B46" s="2">
        <v>38808</v>
      </c>
      <c r="C46" s="1">
        <v>70.34</v>
      </c>
      <c r="E46">
        <f t="shared" si="2"/>
        <v>70.266710177657245</v>
      </c>
      <c r="F46">
        <f t="shared" si="3"/>
        <v>0.35311664264720655</v>
      </c>
      <c r="G46">
        <f t="shared" si="0"/>
        <v>70.619826820304453</v>
      </c>
      <c r="I46">
        <f t="shared" si="6"/>
        <v>7.8303049361698976E-2</v>
      </c>
      <c r="J46">
        <f t="shared" si="4"/>
        <v>0.27982682030445005</v>
      </c>
      <c r="K46">
        <f t="shared" si="5"/>
        <v>3.9782033025938307E-3</v>
      </c>
    </row>
    <row r="47" spans="2:11" x14ac:dyDescent="0.2">
      <c r="B47" s="2">
        <v>38838</v>
      </c>
      <c r="C47" s="1">
        <v>70.510000000000005</v>
      </c>
      <c r="E47">
        <f t="shared" si="2"/>
        <v>70.511098268203042</v>
      </c>
      <c r="F47">
        <f t="shared" si="3"/>
        <v>0.35202935712619249</v>
      </c>
      <c r="G47">
        <f t="shared" si="0"/>
        <v>70.863127625329241</v>
      </c>
      <c r="I47">
        <f t="shared" si="6"/>
        <v>0.12469911977066538</v>
      </c>
      <c r="J47">
        <f t="shared" si="4"/>
        <v>0.35312762532923614</v>
      </c>
      <c r="K47">
        <f t="shared" si="5"/>
        <v>5.0081921050806428E-3</v>
      </c>
    </row>
    <row r="48" spans="2:11" x14ac:dyDescent="0.2">
      <c r="B48" s="2">
        <v>38869</v>
      </c>
      <c r="C48" s="1">
        <v>69.232727272727203</v>
      </c>
      <c r="E48">
        <f t="shared" si="2"/>
        <v>69.249031276253234</v>
      </c>
      <c r="F48">
        <f t="shared" si="3"/>
        <v>0.33588839363543249</v>
      </c>
      <c r="G48">
        <f t="shared" si="0"/>
        <v>69.584919669888663</v>
      </c>
      <c r="I48">
        <f t="shared" si="6"/>
        <v>0.12403948461833543</v>
      </c>
      <c r="J48">
        <f t="shared" si="4"/>
        <v>0.35219239716145978</v>
      </c>
      <c r="K48">
        <f t="shared" si="5"/>
        <v>5.0870796375545738E-3</v>
      </c>
    </row>
    <row r="49" spans="2:11" x14ac:dyDescent="0.2">
      <c r="B49" s="2">
        <v>38899</v>
      </c>
      <c r="C49" s="1">
        <v>74.040952380952305</v>
      </c>
      <c r="E49">
        <f t="shared" si="2"/>
        <v>73.996392053841674</v>
      </c>
      <c r="F49">
        <f t="shared" si="3"/>
        <v>0.38000311747496257</v>
      </c>
      <c r="G49">
        <f t="shared" si="0"/>
        <v>74.376395171316631</v>
      </c>
      <c r="I49">
        <f t="shared" si="6"/>
        <v>0.11252186560740486</v>
      </c>
      <c r="J49">
        <f t="shared" si="4"/>
        <v>0.33544279036432556</v>
      </c>
      <c r="K49">
        <f t="shared" si="5"/>
        <v>4.5305034521763016E-3</v>
      </c>
    </row>
    <row r="50" spans="2:11" x14ac:dyDescent="0.2">
      <c r="B50" s="2">
        <v>38930</v>
      </c>
      <c r="C50" s="1">
        <v>73.500434782608707</v>
      </c>
      <c r="E50">
        <f t="shared" si="2"/>
        <v>73.509194386495778</v>
      </c>
      <c r="F50">
        <f t="shared" si="3"/>
        <v>0.37133110962675397</v>
      </c>
      <c r="G50">
        <f t="shared" si="0"/>
        <v>73.88052549612253</v>
      </c>
      <c r="I50">
        <f t="shared" si="6"/>
        <v>0.14446895049944719</v>
      </c>
      <c r="J50">
        <f t="shared" si="4"/>
        <v>0.38009071351382318</v>
      </c>
      <c r="K50">
        <f t="shared" si="5"/>
        <v>5.1712716344877773E-3</v>
      </c>
    </row>
    <row r="51" spans="2:11" x14ac:dyDescent="0.2">
      <c r="B51" s="2">
        <v>38961</v>
      </c>
      <c r="C51" s="1">
        <v>62.527142857142799</v>
      </c>
      <c r="E51">
        <f t="shared" si="2"/>
        <v>62.640676683532597</v>
      </c>
      <c r="F51">
        <f t="shared" si="3"/>
        <v>0.25893262150085461</v>
      </c>
      <c r="G51">
        <f t="shared" si="0"/>
        <v>62.899609305033451</v>
      </c>
      <c r="I51">
        <f t="shared" si="6"/>
        <v>0.13873125480427967</v>
      </c>
      <c r="J51">
        <f t="shared" si="4"/>
        <v>0.37246644789065186</v>
      </c>
      <c r="K51">
        <f t="shared" si="5"/>
        <v>5.9568761800236824E-3</v>
      </c>
    </row>
    <row r="52" spans="2:11" x14ac:dyDescent="0.2">
      <c r="B52" s="2">
        <v>38991</v>
      </c>
      <c r="C52" s="1">
        <v>58.758181818181797</v>
      </c>
      <c r="E52">
        <f t="shared" si="2"/>
        <v>58.799596093050312</v>
      </c>
      <c r="F52">
        <f t="shared" si="3"/>
        <v>0.21793248938102319</v>
      </c>
      <c r="G52">
        <f t="shared" si="0"/>
        <v>59.017528582431332</v>
      </c>
      <c r="I52">
        <f t="shared" si="6"/>
        <v>6.7260744126704144E-2</v>
      </c>
      <c r="J52">
        <f t="shared" si="4"/>
        <v>0.25934676424953551</v>
      </c>
      <c r="K52">
        <f t="shared" si="5"/>
        <v>4.4137983209222575E-3</v>
      </c>
    </row>
    <row r="53" spans="2:11" x14ac:dyDescent="0.2">
      <c r="B53" s="2">
        <v>39022</v>
      </c>
      <c r="C53" s="1">
        <v>59.222727272727198</v>
      </c>
      <c r="E53">
        <f t="shared" si="2"/>
        <v>59.220675285824242</v>
      </c>
      <c r="F53">
        <f t="shared" si="3"/>
        <v>0.21996395641495228</v>
      </c>
      <c r="G53">
        <f t="shared" si="0"/>
        <v>59.440639242239193</v>
      </c>
      <c r="I53">
        <f t="shared" si="6"/>
        <v>4.748562645659668E-2</v>
      </c>
      <c r="J53">
        <f t="shared" si="4"/>
        <v>0.2179119695119951</v>
      </c>
      <c r="K53">
        <f t="shared" si="5"/>
        <v>3.6795328338812636E-3</v>
      </c>
    </row>
    <row r="54" spans="2:11" x14ac:dyDescent="0.2">
      <c r="B54" s="2">
        <v>39052</v>
      </c>
      <c r="C54" s="1">
        <v>62.260476190476098</v>
      </c>
      <c r="E54">
        <f t="shared" si="2"/>
        <v>62.23227782099373</v>
      </c>
      <c r="F54">
        <f t="shared" si="3"/>
        <v>0.24788034220249761</v>
      </c>
      <c r="G54">
        <f t="shared" si="0"/>
        <v>62.480158163196229</v>
      </c>
      <c r="I54">
        <f t="shared" si="6"/>
        <v>4.8260169138208631E-2</v>
      </c>
      <c r="J54">
        <f t="shared" si="4"/>
        <v>0.21968197272013157</v>
      </c>
      <c r="K54">
        <f t="shared" si="5"/>
        <v>3.5284338662629122E-3</v>
      </c>
    </row>
    <row r="55" spans="2:11" x14ac:dyDescent="0.2">
      <c r="B55" s="2">
        <v>39083</v>
      </c>
      <c r="C55" s="1">
        <v>54.5030434782608</v>
      </c>
      <c r="E55">
        <f t="shared" si="2"/>
        <v>54.582814625110153</v>
      </c>
      <c r="F55">
        <f t="shared" si="3"/>
        <v>0.16890690682163687</v>
      </c>
      <c r="G55">
        <f t="shared" si="0"/>
        <v>54.751721531931793</v>
      </c>
      <c r="I55">
        <f t="shared" si="6"/>
        <v>6.1840774377593243E-2</v>
      </c>
      <c r="J55">
        <f t="shared" si="4"/>
        <v>0.24867805367099294</v>
      </c>
      <c r="K55">
        <f t="shared" si="5"/>
        <v>4.5626452726475943E-3</v>
      </c>
    </row>
    <row r="56" spans="2:11" x14ac:dyDescent="0.2">
      <c r="B56" s="2">
        <v>39114</v>
      </c>
      <c r="C56" s="1">
        <v>57.969499999999996</v>
      </c>
      <c r="E56">
        <f t="shared" si="2"/>
        <v>57.937322215319313</v>
      </c>
      <c r="F56">
        <f t="shared" si="3"/>
        <v>0.2007629136555121</v>
      </c>
      <c r="G56">
        <f t="shared" si="0"/>
        <v>58.138085128974822</v>
      </c>
      <c r="I56">
        <f t="shared" si="6"/>
        <v>2.8420945711458614E-2</v>
      </c>
      <c r="J56">
        <f t="shared" si="4"/>
        <v>0.16858512897482569</v>
      </c>
      <c r="K56">
        <f t="shared" si="5"/>
        <v>2.9081694507426441E-3</v>
      </c>
    </row>
    <row r="57" spans="2:11" x14ac:dyDescent="0.2">
      <c r="B57" s="2">
        <v>39142</v>
      </c>
      <c r="C57" s="1">
        <v>62.357272727272701</v>
      </c>
      <c r="E57">
        <f t="shared" si="2"/>
        <v>62.315080851289721</v>
      </c>
      <c r="F57">
        <f t="shared" si="3"/>
        <v>0.24253287087866107</v>
      </c>
      <c r="G57">
        <f t="shared" si="0"/>
        <v>62.557613722168384</v>
      </c>
      <c r="I57">
        <f t="shared" si="6"/>
        <v>4.0136514235792044E-2</v>
      </c>
      <c r="J57">
        <f t="shared" si="4"/>
        <v>0.20034099489568291</v>
      </c>
      <c r="K57">
        <f t="shared" si="5"/>
        <v>3.2127927687264197E-3</v>
      </c>
    </row>
    <row r="58" spans="2:11" x14ac:dyDescent="0.2">
      <c r="B58" s="2">
        <v>39173</v>
      </c>
      <c r="C58" s="1">
        <v>67.690476190476105</v>
      </c>
      <c r="E58">
        <f t="shared" si="2"/>
        <v>67.639147565793024</v>
      </c>
      <c r="F58">
        <f t="shared" si="3"/>
        <v>0.29334820931490746</v>
      </c>
      <c r="G58">
        <f t="shared" si="0"/>
        <v>67.932495775107938</v>
      </c>
      <c r="I58">
        <f t="shared" si="6"/>
        <v>5.8573479345365262E-2</v>
      </c>
      <c r="J58">
        <f t="shared" si="4"/>
        <v>0.2420195846318336</v>
      </c>
      <c r="K58">
        <f t="shared" si="5"/>
        <v>3.5753860550605081E-3</v>
      </c>
    </row>
    <row r="59" spans="2:11" x14ac:dyDescent="0.2">
      <c r="B59" s="2">
        <v>39203</v>
      </c>
      <c r="C59" s="1">
        <v>67.717826086956507</v>
      </c>
      <c r="E59">
        <f t="shared" si="2"/>
        <v>67.719972783838017</v>
      </c>
      <c r="F59">
        <f t="shared" si="3"/>
        <v>0.29122297940220832</v>
      </c>
      <c r="G59">
        <f t="shared" si="0"/>
        <v>68.011195763240224</v>
      </c>
      <c r="I59">
        <f t="shared" si="6"/>
        <v>8.606576696281304E-2</v>
      </c>
      <c r="J59">
        <f t="shared" si="4"/>
        <v>0.29336967628371724</v>
      </c>
      <c r="K59">
        <f t="shared" si="5"/>
        <v>4.3322370671941097E-3</v>
      </c>
    </row>
    <row r="60" spans="2:11" x14ac:dyDescent="0.2">
      <c r="B60" s="2">
        <v>39234</v>
      </c>
      <c r="C60" s="1">
        <v>70.619047619047606</v>
      </c>
      <c r="E60">
        <f t="shared" si="2"/>
        <v>70.59296910048954</v>
      </c>
      <c r="F60">
        <f t="shared" si="3"/>
        <v>0.31704071277470147</v>
      </c>
      <c r="G60">
        <f t="shared" si="0"/>
        <v>70.910009813264239</v>
      </c>
      <c r="I60">
        <f t="shared" si="6"/>
        <v>8.4658998463357366E-2</v>
      </c>
      <c r="J60">
        <f t="shared" si="4"/>
        <v>0.2909621942166325</v>
      </c>
      <c r="K60">
        <f t="shared" si="5"/>
        <v>4.1201659329395037E-3</v>
      </c>
    </row>
    <row r="61" spans="2:11" x14ac:dyDescent="0.2">
      <c r="B61" s="2">
        <v>39264</v>
      </c>
      <c r="C61" s="1">
        <v>76.133181818181797</v>
      </c>
      <c r="E61">
        <f t="shared" si="2"/>
        <v>76.080950098132618</v>
      </c>
      <c r="F61">
        <f t="shared" si="3"/>
        <v>0.36875011562338522</v>
      </c>
      <c r="G61">
        <f t="shared" si="0"/>
        <v>76.449700213756003</v>
      </c>
      <c r="I61">
        <f t="shared" si="6"/>
        <v>0.10018389473686992</v>
      </c>
      <c r="J61">
        <f t="shared" si="4"/>
        <v>0.31651839557420658</v>
      </c>
      <c r="K61">
        <f t="shared" si="5"/>
        <v>4.157430282240181E-3</v>
      </c>
    </row>
    <row r="62" spans="2:11" x14ac:dyDescent="0.2">
      <c r="B62" s="2">
        <v>39295</v>
      </c>
      <c r="C62" s="1">
        <v>71.313043478260795</v>
      </c>
      <c r="E62">
        <f t="shared" si="2"/>
        <v>71.364410045615742</v>
      </c>
      <c r="F62">
        <f t="shared" si="3"/>
        <v>0.31789721394198261</v>
      </c>
      <c r="G62">
        <f t="shared" si="0"/>
        <v>71.682307259557717</v>
      </c>
      <c r="I62">
        <f t="shared" si="6"/>
        <v>0.13635574017770133</v>
      </c>
      <c r="J62">
        <f t="shared" si="4"/>
        <v>0.36926378129692239</v>
      </c>
      <c r="K62">
        <f t="shared" si="5"/>
        <v>5.1780679001519475E-3</v>
      </c>
    </row>
    <row r="63" spans="2:11" x14ac:dyDescent="0.2">
      <c r="B63" s="2">
        <v>39326</v>
      </c>
      <c r="C63" s="1">
        <v>76.772000000000006</v>
      </c>
      <c r="E63">
        <f t="shared" si="2"/>
        <v>76.721103072595582</v>
      </c>
      <c r="F63">
        <f t="shared" si="3"/>
        <v>0.36828517207236122</v>
      </c>
      <c r="G63">
        <f t="shared" si="0"/>
        <v>77.089388244667944</v>
      </c>
      <c r="I63">
        <f t="shared" si="6"/>
        <v>0.10073529785339524</v>
      </c>
      <c r="J63">
        <f t="shared" si="4"/>
        <v>0.31738824466793858</v>
      </c>
      <c r="K63">
        <f t="shared" si="5"/>
        <v>4.1341666840506771E-3</v>
      </c>
    </row>
    <row r="64" spans="2:11" x14ac:dyDescent="0.2">
      <c r="B64" s="2">
        <v>39356</v>
      </c>
      <c r="C64" s="1">
        <v>82.507391304347806</v>
      </c>
      <c r="E64">
        <f t="shared" si="2"/>
        <v>82.453211273751009</v>
      </c>
      <c r="F64">
        <f t="shared" si="3"/>
        <v>0.42192340236319187</v>
      </c>
      <c r="G64">
        <f t="shared" si="0"/>
        <v>82.8751346761142</v>
      </c>
      <c r="I64">
        <f t="shared" si="6"/>
        <v>0.13523518747811664</v>
      </c>
      <c r="J64">
        <f t="shared" si="4"/>
        <v>0.36774337176639449</v>
      </c>
      <c r="K64">
        <f t="shared" si="5"/>
        <v>4.4570960971228269E-3</v>
      </c>
    </row>
    <row r="65" spans="2:11" x14ac:dyDescent="0.2">
      <c r="B65" s="2">
        <v>39387</v>
      </c>
      <c r="C65" s="1">
        <v>92.731363636363596</v>
      </c>
      <c r="E65">
        <f t="shared" si="2"/>
        <v>92.632801346761099</v>
      </c>
      <c r="F65">
        <f t="shared" si="3"/>
        <v>0.51950006906966084</v>
      </c>
      <c r="G65">
        <f t="shared" si="0"/>
        <v>93.152301415830763</v>
      </c>
      <c r="I65">
        <f t="shared" si="6"/>
        <v>0.17718861418274906</v>
      </c>
      <c r="J65">
        <f t="shared" si="4"/>
        <v>0.42093777946716671</v>
      </c>
      <c r="K65">
        <f t="shared" si="5"/>
        <v>4.5393248083553531E-3</v>
      </c>
    </row>
    <row r="66" spans="2:11" x14ac:dyDescent="0.2">
      <c r="B66" s="2">
        <v>39417</v>
      </c>
      <c r="C66" s="1">
        <v>91.519523809523804</v>
      </c>
      <c r="E66">
        <f t="shared" si="2"/>
        <v>91.535851585586869</v>
      </c>
      <c r="F66">
        <f t="shared" si="3"/>
        <v>0.50333557076722202</v>
      </c>
      <c r="G66">
        <f t="shared" si="0"/>
        <v>92.039187156354089</v>
      </c>
      <c r="I66">
        <f t="shared" si="6"/>
        <v>0.27004999403885299</v>
      </c>
      <c r="J66">
        <f t="shared" si="4"/>
        <v>0.51966334683028492</v>
      </c>
      <c r="K66">
        <f t="shared" si="5"/>
        <v>5.6781692604939791E-3</v>
      </c>
    </row>
    <row r="67" spans="2:11" x14ac:dyDescent="0.2">
      <c r="B67" s="2">
        <v>39448</v>
      </c>
      <c r="C67" s="1">
        <v>92.091739130434703</v>
      </c>
      <c r="E67">
        <f t="shared" si="2"/>
        <v>92.091213610693899</v>
      </c>
      <c r="F67">
        <f t="shared" si="3"/>
        <v>0.50385583531062006</v>
      </c>
      <c r="G67">
        <f t="shared" si="0"/>
        <v>92.595069446004516</v>
      </c>
      <c r="I67">
        <f t="shared" si="6"/>
        <v>0.25334140657160664</v>
      </c>
      <c r="J67">
        <f t="shared" si="4"/>
        <v>0.50333031556981211</v>
      </c>
      <c r="K67">
        <f t="shared" si="5"/>
        <v>5.4655316570459932E-3</v>
      </c>
    </row>
    <row r="68" spans="2:11" x14ac:dyDescent="0.2">
      <c r="B68" s="2">
        <v>39479</v>
      </c>
      <c r="C68" s="1">
        <v>94.722380952380902</v>
      </c>
      <c r="E68">
        <f t="shared" si="2"/>
        <v>94.701107837317139</v>
      </c>
      <c r="F68">
        <f t="shared" si="3"/>
        <v>0.52491621922374632</v>
      </c>
      <c r="G68">
        <f t="shared" si="0"/>
        <v>95.226024056540879</v>
      </c>
      <c r="I68">
        <f t="shared" si="6"/>
        <v>0.2536563763678974</v>
      </c>
      <c r="J68">
        <f t="shared" si="4"/>
        <v>0.50364310415997693</v>
      </c>
      <c r="K68">
        <f t="shared" si="5"/>
        <v>5.3170443890464469E-3</v>
      </c>
    </row>
    <row r="69" spans="2:11" x14ac:dyDescent="0.2">
      <c r="B69" s="2">
        <v>39508</v>
      </c>
      <c r="C69" s="1">
        <v>103.161904761904</v>
      </c>
      <c r="E69">
        <f t="shared" si="2"/>
        <v>103.08254595485036</v>
      </c>
      <c r="F69">
        <f t="shared" si="3"/>
        <v>0.60348143820684108</v>
      </c>
      <c r="G69">
        <f t="shared" si="0"/>
        <v>103.6860273930572</v>
      </c>
      <c r="I69">
        <f t="shared" si="6"/>
        <v>0.27470453248695814</v>
      </c>
      <c r="J69">
        <f t="shared" si="4"/>
        <v>0.52412263115320457</v>
      </c>
      <c r="K69">
        <f t="shared" si="5"/>
        <v>5.0805831121756729E-3</v>
      </c>
    </row>
    <row r="70" spans="2:11" x14ac:dyDescent="0.2">
      <c r="B70" s="2">
        <v>39539</v>
      </c>
      <c r="C70" s="1">
        <v>110.03318181818101</v>
      </c>
      <c r="E70">
        <f t="shared" si="2"/>
        <v>109.96971027392976</v>
      </c>
      <c r="F70">
        <f t="shared" si="3"/>
        <v>0.66631826701556673</v>
      </c>
      <c r="G70">
        <f t="shared" si="0"/>
        <v>110.63602854094533</v>
      </c>
      <c r="I70">
        <f t="shared" si="6"/>
        <v>0.36342417114768832</v>
      </c>
      <c r="J70">
        <f t="shared" si="4"/>
        <v>0.60284672276432616</v>
      </c>
      <c r="K70">
        <f t="shared" si="5"/>
        <v>5.4787720649619219E-3</v>
      </c>
    </row>
    <row r="71" spans="2:11" x14ac:dyDescent="0.2">
      <c r="B71" s="2">
        <v>39569</v>
      </c>
      <c r="C71" s="1">
        <v>123.862272727272</v>
      </c>
      <c r="E71">
        <f t="shared" si="2"/>
        <v>123.73001028540872</v>
      </c>
      <c r="F71">
        <f t="shared" si="3"/>
        <v>0.79725808446020074</v>
      </c>
      <c r="G71">
        <f t="shared" si="0"/>
        <v>124.52726836986892</v>
      </c>
      <c r="I71">
        <f t="shared" si="6"/>
        <v>0.44221920467289161</v>
      </c>
      <c r="J71">
        <f t="shared" si="4"/>
        <v>0.66499564259692079</v>
      </c>
      <c r="K71">
        <f t="shared" si="5"/>
        <v>5.3688312668148065E-3</v>
      </c>
    </row>
    <row r="72" spans="2:11" x14ac:dyDescent="0.2">
      <c r="B72" s="2">
        <v>39600</v>
      </c>
      <c r="C72" s="1">
        <v>132.760476190476</v>
      </c>
      <c r="E72">
        <f t="shared" si="2"/>
        <v>132.67814411226993</v>
      </c>
      <c r="F72">
        <f t="shared" si="3"/>
        <v>0.87876684188421073</v>
      </c>
      <c r="G72">
        <f t="shared" ref="G72:G135" si="7">E72+F72</f>
        <v>133.55691095415415</v>
      </c>
      <c r="I72">
        <f t="shared" ref="I72:I135" si="8">POWER(C72-G72,2)</f>
        <v>0.63430833279507015</v>
      </c>
      <c r="J72">
        <f t="shared" si="4"/>
        <v>0.79643476367814969</v>
      </c>
      <c r="K72">
        <f t="shared" si="5"/>
        <v>5.9990351536211538E-3</v>
      </c>
    </row>
    <row r="73" spans="2:11" x14ac:dyDescent="0.2">
      <c r="B73" s="2">
        <v>39630</v>
      </c>
      <c r="C73" s="1">
        <v>133.58521739130401</v>
      </c>
      <c r="E73">
        <f t="shared" ref="E73:E136" si="9">$C$2*C73+(1-$C$2)*(E72+F72)</f>
        <v>133.58493432693251</v>
      </c>
      <c r="F73">
        <f t="shared" ref="F73:F136" si="10">$C$3*(E73-E72)+(1-$C$3)*F72</f>
        <v>0.87904707561199436</v>
      </c>
      <c r="G73">
        <f t="shared" si="7"/>
        <v>134.4639814025445</v>
      </c>
      <c r="I73">
        <f t="shared" si="8"/>
        <v>0.77222618745147875</v>
      </c>
      <c r="J73">
        <f t="shared" ref="J73:J136" si="11">ABS(C73-G73)</f>
        <v>0.87876401124049153</v>
      </c>
      <c r="K73">
        <f t="shared" ref="K73:K136" si="12">J73/C73</f>
        <v>6.5783028122518615E-3</v>
      </c>
    </row>
    <row r="74" spans="2:11" x14ac:dyDescent="0.2">
      <c r="B74" s="2">
        <v>39661</v>
      </c>
      <c r="C74" s="1">
        <v>113.800476190476</v>
      </c>
      <c r="E74">
        <f t="shared" si="9"/>
        <v>114.00711124259668</v>
      </c>
      <c r="F74">
        <f t="shared" si="10"/>
        <v>0.67447837401251609</v>
      </c>
      <c r="G74">
        <f t="shared" si="7"/>
        <v>114.6815896166092</v>
      </c>
      <c r="I74">
        <f t="shared" si="8"/>
        <v>0.77636086971218121</v>
      </c>
      <c r="J74">
        <f t="shared" si="11"/>
        <v>0.88111342613319721</v>
      </c>
      <c r="K74">
        <f t="shared" si="12"/>
        <v>7.7426163371971711E-3</v>
      </c>
    </row>
    <row r="75" spans="2:11" x14ac:dyDescent="0.2">
      <c r="B75" s="2">
        <v>39692</v>
      </c>
      <c r="C75" s="1">
        <v>98.755454545454498</v>
      </c>
      <c r="E75">
        <f t="shared" si="9"/>
        <v>98.914715896166044</v>
      </c>
      <c r="F75">
        <f t="shared" si="10"/>
        <v>0.51680963680808456</v>
      </c>
      <c r="G75">
        <f t="shared" si="7"/>
        <v>99.431525532974135</v>
      </c>
      <c r="I75">
        <f t="shared" si="8"/>
        <v>0.45707198016577705</v>
      </c>
      <c r="J75">
        <f t="shared" si="11"/>
        <v>0.6760709875196369</v>
      </c>
      <c r="K75">
        <f t="shared" si="12"/>
        <v>6.8459103411696561E-3</v>
      </c>
    </row>
    <row r="76" spans="2:11" x14ac:dyDescent="0.2">
      <c r="B76" s="2">
        <v>39722</v>
      </c>
      <c r="C76" s="1">
        <v>71.963478260869493</v>
      </c>
      <c r="E76">
        <f t="shared" si="9"/>
        <v>72.238158733590538</v>
      </c>
      <c r="F76">
        <f t="shared" si="10"/>
        <v>0.24487596881424872</v>
      </c>
      <c r="G76">
        <f t="shared" si="7"/>
        <v>72.48303470240478</v>
      </c>
      <c r="I76">
        <f t="shared" si="8"/>
        <v>0.26993889594080933</v>
      </c>
      <c r="J76">
        <f t="shared" si="11"/>
        <v>0.51955644153528624</v>
      </c>
      <c r="K76">
        <f t="shared" si="12"/>
        <v>7.2197238667630901E-3</v>
      </c>
    </row>
    <row r="77" spans="2:11" x14ac:dyDescent="0.2">
      <c r="B77" s="2">
        <v>39753</v>
      </c>
      <c r="C77" s="1">
        <v>52.713500000000003</v>
      </c>
      <c r="E77">
        <f t="shared" si="9"/>
        <v>52.911195347024048</v>
      </c>
      <c r="F77">
        <f t="shared" si="10"/>
        <v>4.9157575260441344E-2</v>
      </c>
      <c r="G77">
        <f t="shared" si="7"/>
        <v>52.960352922284493</v>
      </c>
      <c r="I77">
        <f t="shared" si="8"/>
        <v>6.0936365240392115E-2</v>
      </c>
      <c r="J77">
        <f t="shared" si="11"/>
        <v>0.2468529222844893</v>
      </c>
      <c r="K77">
        <f t="shared" si="12"/>
        <v>4.6829165637737825E-3</v>
      </c>
    </row>
    <row r="78" spans="2:11" x14ac:dyDescent="0.2">
      <c r="B78" s="2">
        <v>39783</v>
      </c>
      <c r="C78" s="1">
        <v>40.511739130434698</v>
      </c>
      <c r="E78">
        <f t="shared" si="9"/>
        <v>40.636225268353201</v>
      </c>
      <c r="F78">
        <f t="shared" si="10"/>
        <v>-7.4083701278871553E-2</v>
      </c>
      <c r="G78">
        <f t="shared" si="7"/>
        <v>40.562141567074327</v>
      </c>
      <c r="I78">
        <f t="shared" si="8"/>
        <v>2.5404056192118562E-3</v>
      </c>
      <c r="J78">
        <f t="shared" si="11"/>
        <v>5.04024366396294E-2</v>
      </c>
      <c r="K78">
        <f t="shared" si="12"/>
        <v>1.2441439869404238E-3</v>
      </c>
    </row>
    <row r="79" spans="2:11" x14ac:dyDescent="0.2">
      <c r="B79" s="2">
        <v>39814</v>
      </c>
      <c r="C79" s="1">
        <v>43.174545454545402</v>
      </c>
      <c r="E79">
        <f t="shared" si="9"/>
        <v>43.14842141567069</v>
      </c>
      <c r="F79">
        <f t="shared" si="10"/>
        <v>-4.8220902792907937E-2</v>
      </c>
      <c r="G79">
        <f t="shared" si="7"/>
        <v>43.100200512877784</v>
      </c>
      <c r="I79">
        <f t="shared" si="8"/>
        <v>5.5271703515615998E-3</v>
      </c>
      <c r="J79">
        <f t="shared" si="11"/>
        <v>7.4344941667618514E-2</v>
      </c>
      <c r="K79">
        <f t="shared" si="12"/>
        <v>1.7219623480666316E-3</v>
      </c>
    </row>
    <row r="80" spans="2:11" x14ac:dyDescent="0.2">
      <c r="B80" s="2">
        <v>39845</v>
      </c>
      <c r="C80" s="1">
        <v>42.910499999999999</v>
      </c>
      <c r="E80">
        <f t="shared" si="9"/>
        <v>42.912397005128774</v>
      </c>
      <c r="F80">
        <f t="shared" si="10"/>
        <v>-5.0098937870398014E-2</v>
      </c>
      <c r="G80">
        <f t="shared" si="7"/>
        <v>42.862298067258379</v>
      </c>
      <c r="I80">
        <f t="shared" si="8"/>
        <v>2.323426320027625E-3</v>
      </c>
      <c r="J80">
        <f t="shared" si="11"/>
        <v>4.8201932741619657E-2</v>
      </c>
      <c r="K80">
        <f t="shared" si="12"/>
        <v>1.1233132389885845E-3</v>
      </c>
    </row>
    <row r="81" spans="2:11" x14ac:dyDescent="0.2">
      <c r="B81" s="2">
        <v>39873</v>
      </c>
      <c r="C81" s="1">
        <v>46.582727272727197</v>
      </c>
      <c r="E81">
        <f t="shared" si="9"/>
        <v>46.545522980672509</v>
      </c>
      <c r="F81">
        <f t="shared" si="10"/>
        <v>-1.3266688736256693E-2</v>
      </c>
      <c r="G81">
        <f t="shared" si="7"/>
        <v>46.53225629193625</v>
      </c>
      <c r="I81">
        <f t="shared" si="8"/>
        <v>2.5473199020002225E-3</v>
      </c>
      <c r="J81">
        <f t="shared" si="11"/>
        <v>5.0470980790947806E-2</v>
      </c>
      <c r="K81">
        <f t="shared" si="12"/>
        <v>1.0834698555852282E-3</v>
      </c>
    </row>
    <row r="82" spans="2:11" x14ac:dyDescent="0.2">
      <c r="B82" s="2">
        <v>39904</v>
      </c>
      <c r="C82" s="1">
        <v>50.519090909090899</v>
      </c>
      <c r="E82">
        <f t="shared" si="9"/>
        <v>50.479222562919354</v>
      </c>
      <c r="F82">
        <f t="shared" si="10"/>
        <v>2.620297397357433E-2</v>
      </c>
      <c r="G82">
        <f t="shared" si="7"/>
        <v>50.505425536892929</v>
      </c>
      <c r="I82">
        <f t="shared" si="8"/>
        <v>1.8674239730904642E-4</v>
      </c>
      <c r="J82">
        <f t="shared" si="11"/>
        <v>1.3665372197969816E-2</v>
      </c>
      <c r="K82">
        <f t="shared" si="12"/>
        <v>2.7049917075033385E-4</v>
      </c>
    </row>
    <row r="83" spans="2:11" x14ac:dyDescent="0.2">
      <c r="B83" s="2">
        <v>39934</v>
      </c>
      <c r="C83" s="1">
        <v>57.501428571428498</v>
      </c>
      <c r="E83">
        <f t="shared" si="9"/>
        <v>57.431468541083142</v>
      </c>
      <c r="F83">
        <f t="shared" si="10"/>
        <v>9.5463404015476455E-2</v>
      </c>
      <c r="G83">
        <f t="shared" si="7"/>
        <v>57.526931945098617</v>
      </c>
      <c r="I83">
        <f t="shared" si="8"/>
        <v>6.5042206855773664E-4</v>
      </c>
      <c r="J83">
        <f t="shared" si="11"/>
        <v>2.5503373670119345E-2</v>
      </c>
      <c r="K83">
        <f t="shared" si="12"/>
        <v>4.4352591411601114E-4</v>
      </c>
    </row>
    <row r="84" spans="2:11" x14ac:dyDescent="0.2">
      <c r="B84" s="2">
        <v>39965</v>
      </c>
      <c r="C84" s="1">
        <v>68.58</v>
      </c>
      <c r="E84">
        <f t="shared" si="9"/>
        <v>68.46946931945098</v>
      </c>
      <c r="F84">
        <f t="shared" si="10"/>
        <v>0.20488877775900008</v>
      </c>
      <c r="G84">
        <f t="shared" si="7"/>
        <v>68.674358097209975</v>
      </c>
      <c r="I84">
        <f t="shared" si="8"/>
        <v>8.9034505090874079E-3</v>
      </c>
      <c r="J84">
        <f t="shared" si="11"/>
        <v>9.4358097209976677E-2</v>
      </c>
      <c r="K84">
        <f t="shared" si="12"/>
        <v>1.375883598862302E-3</v>
      </c>
    </row>
    <row r="85" spans="2:11" x14ac:dyDescent="0.2">
      <c r="B85" s="2">
        <v>39995</v>
      </c>
      <c r="C85" s="1">
        <v>64.904347826086905</v>
      </c>
      <c r="E85">
        <f t="shared" si="9"/>
        <v>64.942047928798146</v>
      </c>
      <c r="F85">
        <f t="shared" si="10"/>
        <v>0.16756567607488176</v>
      </c>
      <c r="G85">
        <f t="shared" si="7"/>
        <v>65.109613604873033</v>
      </c>
      <c r="I85">
        <f t="shared" si="8"/>
        <v>4.213403994067557E-2</v>
      </c>
      <c r="J85">
        <f t="shared" si="11"/>
        <v>0.20526577878612784</v>
      </c>
      <c r="K85">
        <f t="shared" si="12"/>
        <v>3.1625890354239979E-3</v>
      </c>
    </row>
    <row r="86" spans="2:11" x14ac:dyDescent="0.2">
      <c r="B86" s="2">
        <v>40026</v>
      </c>
      <c r="C86" s="1">
        <v>72.591904761904701</v>
      </c>
      <c r="E86">
        <f t="shared" si="9"/>
        <v>72.517081850334392</v>
      </c>
      <c r="F86">
        <f t="shared" si="10"/>
        <v>0.24164035852949539</v>
      </c>
      <c r="G86">
        <f t="shared" si="7"/>
        <v>72.758722208863887</v>
      </c>
      <c r="I86">
        <f t="shared" si="8"/>
        <v>2.7828060609980866E-2</v>
      </c>
      <c r="J86">
        <f t="shared" si="11"/>
        <v>0.1668174469591861</v>
      </c>
      <c r="K86">
        <f t="shared" si="12"/>
        <v>2.2980172170207298E-3</v>
      </c>
    </row>
    <row r="87" spans="2:11" x14ac:dyDescent="0.2">
      <c r="B87" s="2">
        <v>40057</v>
      </c>
      <c r="C87" s="1">
        <v>67.513181818181806</v>
      </c>
      <c r="E87">
        <f t="shared" si="9"/>
        <v>67.565637222088625</v>
      </c>
      <c r="F87">
        <f t="shared" si="10"/>
        <v>0.18970950866174274</v>
      </c>
      <c r="G87">
        <f t="shared" si="7"/>
        <v>67.755346730750375</v>
      </c>
      <c r="I87">
        <f t="shared" si="8"/>
        <v>5.8643844879342655E-2</v>
      </c>
      <c r="J87">
        <f t="shared" si="11"/>
        <v>0.24216491256856898</v>
      </c>
      <c r="K87">
        <f t="shared" si="12"/>
        <v>3.5869278568552393E-3</v>
      </c>
    </row>
    <row r="88" spans="2:11" x14ac:dyDescent="0.2">
      <c r="B88" s="2">
        <v>40087</v>
      </c>
      <c r="C88" s="1">
        <v>72.968636363636307</v>
      </c>
      <c r="E88">
        <f t="shared" si="9"/>
        <v>72.91650346730745</v>
      </c>
      <c r="F88">
        <f t="shared" si="10"/>
        <v>0.24132107602731356</v>
      </c>
      <c r="G88">
        <f t="shared" si="7"/>
        <v>73.157824543334769</v>
      </c>
      <c r="I88">
        <f t="shared" si="8"/>
        <v>3.5792167337617559E-2</v>
      </c>
      <c r="J88">
        <f t="shared" si="11"/>
        <v>0.18918817969846202</v>
      </c>
      <c r="K88">
        <f t="shared" si="12"/>
        <v>2.5927328387452689E-3</v>
      </c>
    </row>
    <row r="89" spans="2:11" x14ac:dyDescent="0.2">
      <c r="B89" s="2">
        <v>40118</v>
      </c>
      <c r="C89" s="1">
        <v>76.936666666666596</v>
      </c>
      <c r="E89">
        <f t="shared" si="9"/>
        <v>76.898878245433281</v>
      </c>
      <c r="F89">
        <f t="shared" si="10"/>
        <v>0.27873161304829874</v>
      </c>
      <c r="G89">
        <f t="shared" si="7"/>
        <v>77.177609858481574</v>
      </c>
      <c r="I89">
        <f t="shared" si="8"/>
        <v>5.8053621681989187E-2</v>
      </c>
      <c r="J89">
        <f t="shared" si="11"/>
        <v>0.24094319181497781</v>
      </c>
      <c r="K89">
        <f t="shared" si="12"/>
        <v>3.1317082251416059E-3</v>
      </c>
    </row>
    <row r="90" spans="2:11" x14ac:dyDescent="0.2">
      <c r="B90" s="2">
        <v>40148</v>
      </c>
      <c r="C90" s="1">
        <v>74.789565217391299</v>
      </c>
      <c r="E90">
        <f t="shared" si="9"/>
        <v>74.813445663802213</v>
      </c>
      <c r="F90">
        <f t="shared" si="10"/>
        <v>0.25508997110150505</v>
      </c>
      <c r="G90">
        <f t="shared" si="7"/>
        <v>75.068535634903725</v>
      </c>
      <c r="I90">
        <f t="shared" si="8"/>
        <v>7.78244938470571E-2</v>
      </c>
      <c r="J90">
        <f t="shared" si="11"/>
        <v>0.27897041751242568</v>
      </c>
      <c r="K90">
        <f t="shared" si="12"/>
        <v>3.7300713903275226E-3</v>
      </c>
    </row>
    <row r="91" spans="2:11" x14ac:dyDescent="0.2">
      <c r="B91" s="2">
        <v>40179</v>
      </c>
      <c r="C91" s="1">
        <v>76.602380952380898</v>
      </c>
      <c r="E91">
        <f t="shared" si="9"/>
        <v>76.58704249920612</v>
      </c>
      <c r="F91">
        <f t="shared" si="10"/>
        <v>0.27027503974452904</v>
      </c>
      <c r="G91">
        <f t="shared" si="7"/>
        <v>76.857317538950653</v>
      </c>
      <c r="I91">
        <f t="shared" si="8"/>
        <v>6.4992663171838314E-2</v>
      </c>
      <c r="J91">
        <f t="shared" si="11"/>
        <v>0.25493658656975526</v>
      </c>
      <c r="K91">
        <f t="shared" si="12"/>
        <v>3.3280504261118727E-3</v>
      </c>
    </row>
    <row r="92" spans="2:11" x14ac:dyDescent="0.2">
      <c r="B92" s="2">
        <v>40210</v>
      </c>
      <c r="C92" s="1">
        <v>73.903000000000006</v>
      </c>
      <c r="E92">
        <f t="shared" si="9"/>
        <v>73.932543175389512</v>
      </c>
      <c r="F92">
        <f t="shared" si="10"/>
        <v>0.24102729610891768</v>
      </c>
      <c r="G92">
        <f t="shared" si="7"/>
        <v>74.173570471498422</v>
      </c>
      <c r="I92">
        <f t="shared" si="8"/>
        <v>7.3208380046875424E-2</v>
      </c>
      <c r="J92">
        <f t="shared" si="11"/>
        <v>0.27057047149841651</v>
      </c>
      <c r="K92">
        <f t="shared" si="12"/>
        <v>3.6611568068740984E-3</v>
      </c>
    </row>
    <row r="93" spans="2:11" x14ac:dyDescent="0.2">
      <c r="B93" s="2">
        <v>40238</v>
      </c>
      <c r="C93" s="1">
        <v>79.519130434782596</v>
      </c>
      <c r="E93">
        <f t="shared" si="9"/>
        <v>79.465674835149755</v>
      </c>
      <c r="F93">
        <f t="shared" si="10"/>
        <v>0.29394833974543094</v>
      </c>
      <c r="G93">
        <f t="shared" si="7"/>
        <v>79.759623174895182</v>
      </c>
      <c r="I93">
        <f t="shared" si="8"/>
        <v>5.7836758046859844E-2</v>
      </c>
      <c r="J93">
        <f t="shared" si="11"/>
        <v>0.24049274011258603</v>
      </c>
      <c r="K93">
        <f t="shared" si="12"/>
        <v>3.0243381535695426E-3</v>
      </c>
    </row>
    <row r="94" spans="2:11" x14ac:dyDescent="0.2">
      <c r="B94" s="2">
        <v>40269</v>
      </c>
      <c r="C94" s="1">
        <v>85.156363636363594</v>
      </c>
      <c r="E94">
        <f t="shared" si="9"/>
        <v>85.102396231748912</v>
      </c>
      <c r="F94">
        <f t="shared" si="10"/>
        <v>0.34737607031396822</v>
      </c>
      <c r="G94">
        <f t="shared" si="7"/>
        <v>85.449772302062883</v>
      </c>
      <c r="I94">
        <f t="shared" si="8"/>
        <v>8.6088645107437078E-2</v>
      </c>
      <c r="J94">
        <f t="shared" si="11"/>
        <v>0.29340866569928892</v>
      </c>
      <c r="K94">
        <f t="shared" si="12"/>
        <v>3.4455283571314583E-3</v>
      </c>
    </row>
    <row r="95" spans="2:11" x14ac:dyDescent="0.2">
      <c r="B95" s="2">
        <v>40299</v>
      </c>
      <c r="C95" s="1">
        <v>76.132380952380899</v>
      </c>
      <c r="E95">
        <f t="shared" si="9"/>
        <v>76.225554865877712</v>
      </c>
      <c r="F95">
        <f t="shared" si="10"/>
        <v>0.2551338959521165</v>
      </c>
      <c r="G95">
        <f t="shared" si="7"/>
        <v>76.480688761829825</v>
      </c>
      <c r="I95">
        <f t="shared" si="8"/>
        <v>0.12131833012310921</v>
      </c>
      <c r="J95">
        <f t="shared" si="11"/>
        <v>0.34830780944892581</v>
      </c>
      <c r="K95">
        <f t="shared" si="12"/>
        <v>4.5750284582165446E-3</v>
      </c>
    </row>
    <row r="96" spans="2:11" x14ac:dyDescent="0.2">
      <c r="B96" s="2">
        <v>40330</v>
      </c>
      <c r="C96" s="1">
        <v>75.246363636363597</v>
      </c>
      <c r="E96">
        <f t="shared" si="9"/>
        <v>75.258706887618246</v>
      </c>
      <c r="F96">
        <f t="shared" si="10"/>
        <v>0.24291407721000069</v>
      </c>
      <c r="G96">
        <f t="shared" si="7"/>
        <v>75.501620964828248</v>
      </c>
      <c r="I96">
        <f t="shared" si="8"/>
        <v>6.5156303734910895E-2</v>
      </c>
      <c r="J96">
        <f t="shared" si="11"/>
        <v>0.25525732846465132</v>
      </c>
      <c r="K96">
        <f t="shared" si="12"/>
        <v>3.3922878944451147E-3</v>
      </c>
    </row>
    <row r="97" spans="2:11" x14ac:dyDescent="0.2">
      <c r="B97" s="2">
        <v>40360</v>
      </c>
      <c r="C97" s="1">
        <v>75.194999999999894</v>
      </c>
      <c r="E97">
        <f t="shared" si="9"/>
        <v>75.198066209648189</v>
      </c>
      <c r="F97">
        <f t="shared" si="10"/>
        <v>0.23987852965820011</v>
      </c>
      <c r="G97">
        <f t="shared" si="7"/>
        <v>75.437944739306388</v>
      </c>
      <c r="I97">
        <f t="shared" si="8"/>
        <v>5.9022146356700687E-2</v>
      </c>
      <c r="J97">
        <f t="shared" si="11"/>
        <v>0.24294473930649474</v>
      </c>
      <c r="K97">
        <f t="shared" si="12"/>
        <v>3.2308629470908317E-3</v>
      </c>
    </row>
    <row r="98" spans="2:11" x14ac:dyDescent="0.2">
      <c r="B98" s="2">
        <v>40391</v>
      </c>
      <c r="C98" s="1">
        <v>76.891818181818095</v>
      </c>
      <c r="E98">
        <f t="shared" si="9"/>
        <v>76.877279447392979</v>
      </c>
      <c r="F98">
        <f t="shared" si="10"/>
        <v>0.25427187673906604</v>
      </c>
      <c r="G98">
        <f t="shared" si="7"/>
        <v>77.131551324132047</v>
      </c>
      <c r="I98">
        <f t="shared" si="8"/>
        <v>5.7471979523721531E-2</v>
      </c>
      <c r="J98">
        <f t="shared" si="11"/>
        <v>0.23973314231395193</v>
      </c>
      <c r="K98">
        <f t="shared" si="12"/>
        <v>3.1177978097367896E-3</v>
      </c>
    </row>
    <row r="99" spans="2:11" x14ac:dyDescent="0.2">
      <c r="B99" s="2">
        <v>40422</v>
      </c>
      <c r="C99" s="1">
        <v>77.938181818181803</v>
      </c>
      <c r="E99">
        <f t="shared" si="9"/>
        <v>77.930115513241304</v>
      </c>
      <c r="F99">
        <f t="shared" si="10"/>
        <v>0.26225751863015861</v>
      </c>
      <c r="G99">
        <f t="shared" si="7"/>
        <v>78.192373031871469</v>
      </c>
      <c r="I99">
        <f t="shared" si="8"/>
        <v>6.4613173117025233E-2</v>
      </c>
      <c r="J99">
        <f t="shared" si="11"/>
        <v>0.25419121368966557</v>
      </c>
      <c r="K99">
        <f t="shared" si="12"/>
        <v>3.2614465433984064E-3</v>
      </c>
    </row>
    <row r="100" spans="2:11" x14ac:dyDescent="0.2">
      <c r="B100" s="2">
        <v>40452</v>
      </c>
      <c r="C100" s="1">
        <v>83.338571428571399</v>
      </c>
      <c r="E100">
        <f t="shared" si="9"/>
        <v>83.287109444604397</v>
      </c>
      <c r="F100">
        <f t="shared" si="10"/>
        <v>0.31320488275748792</v>
      </c>
      <c r="G100">
        <f t="shared" si="7"/>
        <v>83.600314327361886</v>
      </c>
      <c r="I100">
        <f t="shared" si="8"/>
        <v>6.8509345067247276E-2</v>
      </c>
      <c r="J100">
        <f t="shared" si="11"/>
        <v>0.26174289879048729</v>
      </c>
      <c r="K100">
        <f t="shared" si="12"/>
        <v>3.1407173689655134E-3</v>
      </c>
    </row>
    <row r="101" spans="2:11" x14ac:dyDescent="0.2">
      <c r="B101" s="2">
        <v>40483</v>
      </c>
      <c r="C101" s="1">
        <v>85.800909090909002</v>
      </c>
      <c r="E101">
        <f t="shared" si="9"/>
        <v>85.778903143273524</v>
      </c>
      <c r="F101">
        <f t="shared" si="10"/>
        <v>0.33499077091660429</v>
      </c>
      <c r="G101">
        <f t="shared" si="7"/>
        <v>86.113893914190129</v>
      </c>
      <c r="I101">
        <f t="shared" si="8"/>
        <v>9.7959499604318281E-2</v>
      </c>
      <c r="J101">
        <f t="shared" si="11"/>
        <v>0.31298482328112698</v>
      </c>
      <c r="K101">
        <f t="shared" si="12"/>
        <v>3.647803113012577E-3</v>
      </c>
    </row>
    <row r="102" spans="2:11" x14ac:dyDescent="0.2">
      <c r="B102" s="2">
        <v>40513</v>
      </c>
      <c r="C102" s="1">
        <v>91.959999999999894</v>
      </c>
      <c r="E102">
        <f t="shared" si="9"/>
        <v>91.901538939141787</v>
      </c>
      <c r="F102">
        <f t="shared" si="10"/>
        <v>0.39286722116612088</v>
      </c>
      <c r="G102">
        <f t="shared" si="7"/>
        <v>92.294406160307915</v>
      </c>
      <c r="I102">
        <f t="shared" si="8"/>
        <v>0.11182748005195359</v>
      </c>
      <c r="J102">
        <f t="shared" si="11"/>
        <v>0.33440616030802062</v>
      </c>
      <c r="K102">
        <f t="shared" si="12"/>
        <v>3.63643062535908E-3</v>
      </c>
    </row>
    <row r="103" spans="2:11" x14ac:dyDescent="0.2">
      <c r="B103" s="2">
        <v>40544</v>
      </c>
      <c r="C103" s="1">
        <v>96.952380952380906</v>
      </c>
      <c r="E103">
        <f t="shared" si="9"/>
        <v>96.905801204460175</v>
      </c>
      <c r="F103">
        <f t="shared" si="10"/>
        <v>0.43898117160764355</v>
      </c>
      <c r="G103">
        <f t="shared" si="7"/>
        <v>97.344782376067812</v>
      </c>
      <c r="I103">
        <f t="shared" si="8"/>
        <v>0.15397887731151036</v>
      </c>
      <c r="J103">
        <f t="shared" si="11"/>
        <v>0.39240142368690556</v>
      </c>
      <c r="K103">
        <f t="shared" si="12"/>
        <v>4.047362425061405E-3</v>
      </c>
    </row>
    <row r="104" spans="2:11" x14ac:dyDescent="0.2">
      <c r="B104" s="2">
        <v>40575</v>
      </c>
      <c r="C104" s="1">
        <v>104.2385</v>
      </c>
      <c r="E104">
        <f t="shared" si="9"/>
        <v>104.16956282376069</v>
      </c>
      <c r="F104">
        <f t="shared" si="10"/>
        <v>0.50722897608457218</v>
      </c>
      <c r="G104">
        <f t="shared" si="7"/>
        <v>104.67679179984526</v>
      </c>
      <c r="I104">
        <f t="shared" si="8"/>
        <v>0.19209970181159727</v>
      </c>
      <c r="J104">
        <f t="shared" si="11"/>
        <v>0.43829179984525979</v>
      </c>
      <c r="K104">
        <f t="shared" si="12"/>
        <v>4.2047017162109949E-3</v>
      </c>
    </row>
    <row r="105" spans="2:11" x14ac:dyDescent="0.2">
      <c r="B105" s="2">
        <v>40603</v>
      </c>
      <c r="C105" s="1">
        <v>114.91739130434701</v>
      </c>
      <c r="E105">
        <f t="shared" si="9"/>
        <v>114.81498530930199</v>
      </c>
      <c r="F105">
        <f t="shared" si="10"/>
        <v>0.60861091117913946</v>
      </c>
      <c r="G105">
        <f t="shared" si="7"/>
        <v>115.42359622048113</v>
      </c>
      <c r="I105">
        <f t="shared" si="8"/>
        <v>0.25624341711835508</v>
      </c>
      <c r="J105">
        <f t="shared" si="11"/>
        <v>0.50620491613412355</v>
      </c>
      <c r="K105">
        <f t="shared" si="12"/>
        <v>4.4049461129298641E-3</v>
      </c>
    </row>
    <row r="106" spans="2:11" x14ac:dyDescent="0.2">
      <c r="B106" s="2">
        <v>40634</v>
      </c>
      <c r="C106" s="1">
        <v>123.325714285714</v>
      </c>
      <c r="E106">
        <f t="shared" si="9"/>
        <v>123.24669310506167</v>
      </c>
      <c r="F106">
        <f t="shared" si="10"/>
        <v>0.68684188002494484</v>
      </c>
      <c r="G106">
        <f t="shared" si="7"/>
        <v>123.93353498508661</v>
      </c>
      <c r="I106">
        <f t="shared" si="8"/>
        <v>0.36944600258580856</v>
      </c>
      <c r="J106">
        <f t="shared" si="11"/>
        <v>0.60782069937260985</v>
      </c>
      <c r="K106">
        <f t="shared" si="12"/>
        <v>4.9285804091468337E-3</v>
      </c>
    </row>
    <row r="107" spans="2:11" x14ac:dyDescent="0.2">
      <c r="B107" s="2">
        <v>40664</v>
      </c>
      <c r="C107" s="1">
        <v>114.92954545454501</v>
      </c>
      <c r="E107">
        <f t="shared" si="9"/>
        <v>115.01958534985042</v>
      </c>
      <c r="F107">
        <f t="shared" si="10"/>
        <v>0.59770238367258288</v>
      </c>
      <c r="G107">
        <f t="shared" si="7"/>
        <v>115.617287733523</v>
      </c>
      <c r="I107">
        <f t="shared" si="8"/>
        <v>0.47298944229384327</v>
      </c>
      <c r="J107">
        <f t="shared" si="11"/>
        <v>0.68774227897799278</v>
      </c>
      <c r="K107">
        <f t="shared" si="12"/>
        <v>5.9840337509208807E-3</v>
      </c>
    </row>
    <row r="108" spans="2:11" x14ac:dyDescent="0.2">
      <c r="B108" s="2">
        <v>40695</v>
      </c>
      <c r="C108" s="1">
        <v>114.370454545454</v>
      </c>
      <c r="E108">
        <f t="shared" si="9"/>
        <v>114.38292287733469</v>
      </c>
      <c r="F108">
        <f t="shared" si="10"/>
        <v>0.5853587351106998</v>
      </c>
      <c r="G108">
        <f t="shared" si="7"/>
        <v>114.9682816124454</v>
      </c>
      <c r="I108">
        <f t="shared" si="8"/>
        <v>0.35739720202753944</v>
      </c>
      <c r="J108">
        <f t="shared" si="11"/>
        <v>0.59782706699139965</v>
      </c>
      <c r="K108">
        <f t="shared" si="12"/>
        <v>5.2271110521275978E-3</v>
      </c>
    </row>
    <row r="109" spans="2:11" x14ac:dyDescent="0.2">
      <c r="B109" s="2">
        <v>40725</v>
      </c>
      <c r="C109" s="1">
        <v>117.48333333333299</v>
      </c>
      <c r="E109">
        <f t="shared" si="9"/>
        <v>117.45818281612412</v>
      </c>
      <c r="F109">
        <f t="shared" si="10"/>
        <v>0.61025774714748715</v>
      </c>
      <c r="G109">
        <f t="shared" si="7"/>
        <v>118.06844056327161</v>
      </c>
      <c r="I109">
        <f t="shared" si="8"/>
        <v>0.34235047052643885</v>
      </c>
      <c r="J109">
        <f t="shared" si="11"/>
        <v>0.58510722993861464</v>
      </c>
      <c r="K109">
        <f t="shared" si="12"/>
        <v>4.9803424310280861E-3</v>
      </c>
    </row>
    <row r="110" spans="2:11" x14ac:dyDescent="0.2">
      <c r="B110" s="2">
        <v>40756</v>
      </c>
      <c r="C110" s="1">
        <v>110.354782608695</v>
      </c>
      <c r="E110">
        <f t="shared" si="9"/>
        <v>110.43191918824077</v>
      </c>
      <c r="F110">
        <f t="shared" si="10"/>
        <v>0.53389253339717868</v>
      </c>
      <c r="G110">
        <f t="shared" si="7"/>
        <v>110.96581172163795</v>
      </c>
      <c r="I110">
        <f t="shared" si="8"/>
        <v>0.37335657686384122</v>
      </c>
      <c r="J110">
        <f t="shared" si="11"/>
        <v>0.61102911294294415</v>
      </c>
      <c r="K110">
        <f t="shared" si="12"/>
        <v>5.5369518066976861E-3</v>
      </c>
    </row>
    <row r="111" spans="2:11" x14ac:dyDescent="0.2">
      <c r="B111" s="2">
        <v>40787</v>
      </c>
      <c r="C111" s="1">
        <v>111.96272727272699</v>
      </c>
      <c r="E111">
        <f t="shared" si="9"/>
        <v>111.95275811721611</v>
      </c>
      <c r="F111">
        <f t="shared" si="10"/>
        <v>0.54376199735296016</v>
      </c>
      <c r="G111">
        <f t="shared" si="7"/>
        <v>112.49652011456907</v>
      </c>
      <c r="I111">
        <f t="shared" si="8"/>
        <v>0.28493479800183491</v>
      </c>
      <c r="J111">
        <f t="shared" si="11"/>
        <v>0.53379284184207165</v>
      </c>
      <c r="K111">
        <f t="shared" si="12"/>
        <v>4.7675941346249995E-3</v>
      </c>
    </row>
    <row r="112" spans="2:11" x14ac:dyDescent="0.2">
      <c r="B112" s="2">
        <v>40817</v>
      </c>
      <c r="C112" s="1">
        <v>110.429523809523</v>
      </c>
      <c r="E112">
        <f t="shared" si="9"/>
        <v>110.45019377257347</v>
      </c>
      <c r="F112">
        <f t="shared" si="10"/>
        <v>0.52329873393300419</v>
      </c>
      <c r="G112">
        <f t="shared" si="7"/>
        <v>110.97349250650647</v>
      </c>
      <c r="I112">
        <f t="shared" si="8"/>
        <v>0.29590194329789377</v>
      </c>
      <c r="J112">
        <f t="shared" si="11"/>
        <v>0.54396869698346961</v>
      </c>
      <c r="K112">
        <f t="shared" si="12"/>
        <v>4.9259353678074982E-3</v>
      </c>
    </row>
    <row r="113" spans="2:11" x14ac:dyDescent="0.2">
      <c r="B113" s="2">
        <v>40848</v>
      </c>
      <c r="C113" s="1">
        <v>111.15863636363601</v>
      </c>
      <c r="E113">
        <f t="shared" si="9"/>
        <v>111.15678492506471</v>
      </c>
      <c r="F113">
        <f t="shared" si="10"/>
        <v>0.52513165811858653</v>
      </c>
      <c r="G113">
        <f t="shared" si="7"/>
        <v>111.68191658318329</v>
      </c>
      <c r="I113">
        <f t="shared" si="8"/>
        <v>0.27382218816945847</v>
      </c>
      <c r="J113">
        <f t="shared" si="11"/>
        <v>0.52328021954728854</v>
      </c>
      <c r="K113">
        <f t="shared" si="12"/>
        <v>4.7075084461765879E-3</v>
      </c>
    </row>
    <row r="114" spans="2:11" x14ac:dyDescent="0.2">
      <c r="B114" s="2">
        <v>40878</v>
      </c>
      <c r="C114" s="1">
        <v>108.347727272727</v>
      </c>
      <c r="E114">
        <f t="shared" si="9"/>
        <v>108.38106916583156</v>
      </c>
      <c r="F114">
        <f t="shared" si="10"/>
        <v>0.49212318394506921</v>
      </c>
      <c r="G114">
        <f t="shared" si="7"/>
        <v>108.87319234977663</v>
      </c>
      <c r="I114">
        <f t="shared" si="8"/>
        <v>0.27611354719877484</v>
      </c>
      <c r="J114">
        <f t="shared" si="11"/>
        <v>0.52546507704963119</v>
      </c>
      <c r="K114">
        <f t="shared" si="12"/>
        <v>4.8498024857222813E-3</v>
      </c>
    </row>
    <row r="115" spans="2:11" x14ac:dyDescent="0.2">
      <c r="B115" s="2">
        <v>40909</v>
      </c>
      <c r="C115" s="1">
        <v>111.41500000000001</v>
      </c>
      <c r="E115">
        <f t="shared" si="9"/>
        <v>111.38958192349777</v>
      </c>
      <c r="F115">
        <f t="shared" si="10"/>
        <v>0.5172870796822806</v>
      </c>
      <c r="G115">
        <f t="shared" si="7"/>
        <v>111.90686900318005</v>
      </c>
      <c r="I115">
        <f t="shared" si="8"/>
        <v>0.24193511628932851</v>
      </c>
      <c r="J115">
        <f t="shared" si="11"/>
        <v>0.49186900318004234</v>
      </c>
      <c r="K115">
        <f t="shared" si="12"/>
        <v>4.4147466964057115E-3</v>
      </c>
    </row>
    <row r="116" spans="2:11" x14ac:dyDescent="0.2">
      <c r="B116" s="2">
        <v>40940</v>
      </c>
      <c r="C116" s="1">
        <v>119.165714285714</v>
      </c>
      <c r="E116">
        <f t="shared" si="9"/>
        <v>119.09312583288866</v>
      </c>
      <c r="F116">
        <f t="shared" si="10"/>
        <v>0.58914964797936664</v>
      </c>
      <c r="G116">
        <f t="shared" si="7"/>
        <v>119.68227548086803</v>
      </c>
      <c r="I116">
        <f t="shared" si="8"/>
        <v>0.26683546833895538</v>
      </c>
      <c r="J116">
        <f t="shared" si="11"/>
        <v>0.51656119515402565</v>
      </c>
      <c r="K116">
        <f t="shared" si="12"/>
        <v>4.334813903901156E-3</v>
      </c>
    </row>
    <row r="117" spans="2:11" x14ac:dyDescent="0.2">
      <c r="B117" s="2">
        <v>40969</v>
      </c>
      <c r="C117" s="1">
        <v>124.70318181818099</v>
      </c>
      <c r="E117">
        <f t="shared" si="9"/>
        <v>124.65297275480786</v>
      </c>
      <c r="F117">
        <f t="shared" si="10"/>
        <v>0.63885662071876492</v>
      </c>
      <c r="G117">
        <f t="shared" si="7"/>
        <v>125.29182937552663</v>
      </c>
      <c r="I117">
        <f t="shared" si="8"/>
        <v>0.34650594676898616</v>
      </c>
      <c r="J117">
        <f t="shared" si="11"/>
        <v>0.58864755734563801</v>
      </c>
      <c r="K117">
        <f t="shared" si="12"/>
        <v>4.720389237572899E-3</v>
      </c>
    </row>
    <row r="118" spans="2:11" x14ac:dyDescent="0.2">
      <c r="B118" s="2">
        <v>41000</v>
      </c>
      <c r="C118" s="1">
        <v>120.47</v>
      </c>
      <c r="E118">
        <f t="shared" si="9"/>
        <v>120.51821829375527</v>
      </c>
      <c r="F118">
        <f t="shared" si="10"/>
        <v>0.59112050990105136</v>
      </c>
      <c r="G118">
        <f t="shared" si="7"/>
        <v>121.10933880365631</v>
      </c>
      <c r="I118">
        <f t="shared" si="8"/>
        <v>0.40875410586068839</v>
      </c>
      <c r="J118">
        <f t="shared" si="11"/>
        <v>0.63933880365631524</v>
      </c>
      <c r="K118">
        <f t="shared" si="12"/>
        <v>5.3070374670566552E-3</v>
      </c>
    </row>
    <row r="119" spans="2:11" x14ac:dyDescent="0.2">
      <c r="B119" s="2">
        <v>41030</v>
      </c>
      <c r="C119" s="1">
        <v>110.822173913043</v>
      </c>
      <c r="E119">
        <f t="shared" si="9"/>
        <v>110.92504556194913</v>
      </c>
      <c r="F119">
        <f t="shared" si="10"/>
        <v>0.48927757748397949</v>
      </c>
      <c r="G119">
        <f t="shared" si="7"/>
        <v>111.41432313943311</v>
      </c>
      <c r="I119">
        <f t="shared" si="8"/>
        <v>0.35064070631440081</v>
      </c>
      <c r="J119">
        <f t="shared" si="11"/>
        <v>0.59214922639010581</v>
      </c>
      <c r="K119">
        <f t="shared" si="12"/>
        <v>5.3432377788829311E-3</v>
      </c>
    </row>
    <row r="120" spans="2:11" x14ac:dyDescent="0.2">
      <c r="B120" s="2">
        <v>41061</v>
      </c>
      <c r="C120" s="1">
        <v>95.889047619047602</v>
      </c>
      <c r="E120">
        <f t="shared" si="9"/>
        <v>96.044300374251463</v>
      </c>
      <c r="F120">
        <f t="shared" si="10"/>
        <v>0.33557734983216297</v>
      </c>
      <c r="G120">
        <f t="shared" si="7"/>
        <v>96.379877724083627</v>
      </c>
      <c r="I120">
        <f t="shared" si="8"/>
        <v>0.24091419200967543</v>
      </c>
      <c r="J120">
        <f t="shared" si="11"/>
        <v>0.49083010503602509</v>
      </c>
      <c r="K120">
        <f t="shared" si="12"/>
        <v>5.1187295861568824E-3</v>
      </c>
    </row>
    <row r="121" spans="2:11" x14ac:dyDescent="0.2">
      <c r="B121" s="2">
        <v>41091</v>
      </c>
      <c r="C121" s="1">
        <v>102.979545454545</v>
      </c>
      <c r="E121">
        <f t="shared" si="9"/>
        <v>102.91354877724039</v>
      </c>
      <c r="F121">
        <f t="shared" si="10"/>
        <v>0.40091406036373067</v>
      </c>
      <c r="G121">
        <f t="shared" si="7"/>
        <v>103.31446283760413</v>
      </c>
      <c r="I121">
        <f t="shared" si="8"/>
        <v>0.11216965347517013</v>
      </c>
      <c r="J121">
        <f t="shared" si="11"/>
        <v>0.33491738305912122</v>
      </c>
      <c r="K121">
        <f t="shared" si="12"/>
        <v>3.2522709396396897E-3</v>
      </c>
    </row>
    <row r="122" spans="2:11" x14ac:dyDescent="0.2">
      <c r="B122" s="2">
        <v>41122</v>
      </c>
      <c r="C122" s="1">
        <v>113.780434782608</v>
      </c>
      <c r="E122">
        <f t="shared" si="9"/>
        <v>113.67577506315796</v>
      </c>
      <c r="F122">
        <f t="shared" si="10"/>
        <v>0.50452718261926899</v>
      </c>
      <c r="G122">
        <f t="shared" si="7"/>
        <v>114.18030224577723</v>
      </c>
      <c r="I122">
        <f t="shared" si="8"/>
        <v>0.15989398810139518</v>
      </c>
      <c r="J122">
        <f t="shared" si="11"/>
        <v>0.39986746316922961</v>
      </c>
      <c r="K122">
        <f t="shared" si="12"/>
        <v>3.5143780557107844E-3</v>
      </c>
    </row>
    <row r="123" spans="2:11" x14ac:dyDescent="0.2">
      <c r="B123" s="2">
        <v>41153</v>
      </c>
      <c r="C123" s="1">
        <v>113.641499999999</v>
      </c>
      <c r="E123">
        <f t="shared" si="9"/>
        <v>113.64688802245679</v>
      </c>
      <c r="F123">
        <f t="shared" si="10"/>
        <v>0.49919304038606466</v>
      </c>
      <c r="G123">
        <f t="shared" si="7"/>
        <v>114.14608106284285</v>
      </c>
      <c r="I123">
        <f t="shared" si="8"/>
        <v>0.25460204898063388</v>
      </c>
      <c r="J123">
        <f t="shared" si="11"/>
        <v>0.50458106284385451</v>
      </c>
      <c r="K123">
        <f t="shared" si="12"/>
        <v>4.4401126599337296E-3</v>
      </c>
    </row>
    <row r="124" spans="2:11" x14ac:dyDescent="0.2">
      <c r="B124" s="2">
        <v>41183</v>
      </c>
      <c r="C124" s="1">
        <v>111.79260869565201</v>
      </c>
      <c r="E124">
        <f t="shared" si="9"/>
        <v>111.81614341932392</v>
      </c>
      <c r="F124">
        <f t="shared" si="10"/>
        <v>0.47589366395087529</v>
      </c>
      <c r="G124">
        <f t="shared" si="7"/>
        <v>112.29203708327479</v>
      </c>
      <c r="I124">
        <f t="shared" si="8"/>
        <v>0.2494287143634952</v>
      </c>
      <c r="J124">
        <f t="shared" si="11"/>
        <v>0.49942838762278541</v>
      </c>
      <c r="K124">
        <f t="shared" si="12"/>
        <v>4.4674544538310778E-3</v>
      </c>
    </row>
    <row r="125" spans="2:11" x14ac:dyDescent="0.2">
      <c r="B125" s="2">
        <v>41214</v>
      </c>
      <c r="C125" s="1">
        <v>109.91181818181801</v>
      </c>
      <c r="E125">
        <f t="shared" si="9"/>
        <v>109.93562037083257</v>
      </c>
      <c r="F125">
        <f t="shared" si="10"/>
        <v>0.45232949682645296</v>
      </c>
      <c r="G125">
        <f t="shared" si="7"/>
        <v>110.38794986765902</v>
      </c>
      <c r="I125">
        <f t="shared" si="8"/>
        <v>0.22670138226180336</v>
      </c>
      <c r="J125">
        <f t="shared" si="11"/>
        <v>0.47613168584101118</v>
      </c>
      <c r="K125">
        <f t="shared" si="12"/>
        <v>4.3319425855860745E-3</v>
      </c>
    </row>
    <row r="126" spans="2:11" x14ac:dyDescent="0.2">
      <c r="B126" s="2">
        <v>41244</v>
      </c>
      <c r="C126" s="1">
        <v>109.569047619047</v>
      </c>
      <c r="E126">
        <f t="shared" si="9"/>
        <v>109.57723664153312</v>
      </c>
      <c r="F126">
        <f t="shared" si="10"/>
        <v>0.44422236456519393</v>
      </c>
      <c r="G126">
        <f t="shared" si="7"/>
        <v>110.02145900609831</v>
      </c>
      <c r="I126">
        <f t="shared" si="8"/>
        <v>0.20467606313369324</v>
      </c>
      <c r="J126">
        <f t="shared" si="11"/>
        <v>0.45241138705131334</v>
      </c>
      <c r="K126">
        <f t="shared" si="12"/>
        <v>4.1290072048839107E-3</v>
      </c>
    </row>
    <row r="127" spans="2:11" x14ac:dyDescent="0.2">
      <c r="B127" s="2">
        <v>41275</v>
      </c>
      <c r="C127" s="1">
        <v>112.527826086956</v>
      </c>
      <c r="E127">
        <f t="shared" si="9"/>
        <v>112.50276241614742</v>
      </c>
      <c r="F127">
        <f t="shared" si="10"/>
        <v>0.469035398665685</v>
      </c>
      <c r="G127">
        <f t="shared" si="7"/>
        <v>112.9717978148131</v>
      </c>
      <c r="I127">
        <f t="shared" si="8"/>
        <v>0.19711089513642224</v>
      </c>
      <c r="J127">
        <f t="shared" si="11"/>
        <v>0.44397172785710382</v>
      </c>
      <c r="K127">
        <f t="shared" si="12"/>
        <v>3.9454394819111154E-3</v>
      </c>
    </row>
    <row r="128" spans="2:11" x14ac:dyDescent="0.2">
      <c r="B128" s="2">
        <v>41306</v>
      </c>
      <c r="C128" s="1">
        <v>116.488</v>
      </c>
      <c r="E128">
        <f t="shared" si="9"/>
        <v>116.45283797814814</v>
      </c>
      <c r="F128">
        <f t="shared" si="10"/>
        <v>0.50384580029903536</v>
      </c>
      <c r="G128">
        <f t="shared" si="7"/>
        <v>116.95668377844717</v>
      </c>
      <c r="I128">
        <f t="shared" si="8"/>
        <v>0.21966448417951784</v>
      </c>
      <c r="J128">
        <f t="shared" si="11"/>
        <v>0.46868377844717202</v>
      </c>
      <c r="K128">
        <f t="shared" si="12"/>
        <v>4.0234511576056932E-3</v>
      </c>
    </row>
    <row r="129" spans="2:11" x14ac:dyDescent="0.2">
      <c r="B129" s="2">
        <v>41334</v>
      </c>
      <c r="C129" s="1">
        <v>109.585714285714</v>
      </c>
      <c r="E129">
        <f t="shared" si="9"/>
        <v>109.65942398064134</v>
      </c>
      <c r="F129">
        <f t="shared" si="10"/>
        <v>0.43087320232097698</v>
      </c>
      <c r="G129">
        <f t="shared" si="7"/>
        <v>110.09029718296232</v>
      </c>
      <c r="I129">
        <f t="shared" si="8"/>
        <v>0.25460390019550078</v>
      </c>
      <c r="J129">
        <f t="shared" si="11"/>
        <v>0.50458289724831218</v>
      </c>
      <c r="K129">
        <f t="shared" si="12"/>
        <v>4.6044587156018699E-3</v>
      </c>
    </row>
    <row r="130" spans="2:11" x14ac:dyDescent="0.2">
      <c r="B130" s="2">
        <v>41365</v>
      </c>
      <c r="C130" s="1">
        <v>102.959999999999</v>
      </c>
      <c r="E130">
        <f t="shared" si="9"/>
        <v>103.03130297182864</v>
      </c>
      <c r="F130">
        <f t="shared" si="10"/>
        <v>0.36028326020964024</v>
      </c>
      <c r="G130">
        <f t="shared" si="7"/>
        <v>103.39158623203828</v>
      </c>
      <c r="I130">
        <f t="shared" si="8"/>
        <v>0.18626667568586289</v>
      </c>
      <c r="J130">
        <f t="shared" si="11"/>
        <v>0.43158623203927959</v>
      </c>
      <c r="K130">
        <f t="shared" si="12"/>
        <v>4.1917854704670143E-3</v>
      </c>
    </row>
    <row r="131" spans="2:11" x14ac:dyDescent="0.2">
      <c r="B131" s="2">
        <v>41395</v>
      </c>
      <c r="C131" s="1">
        <v>102.980434782608</v>
      </c>
      <c r="E131">
        <f t="shared" si="9"/>
        <v>102.9845462971023</v>
      </c>
      <c r="F131">
        <f t="shared" si="10"/>
        <v>0.35621286086028042</v>
      </c>
      <c r="G131">
        <f t="shared" si="7"/>
        <v>103.34075915796258</v>
      </c>
      <c r="I131">
        <f t="shared" si="8"/>
        <v>0.12983365547466807</v>
      </c>
      <c r="J131">
        <f t="shared" si="11"/>
        <v>0.36032437535457973</v>
      </c>
      <c r="K131">
        <f t="shared" si="12"/>
        <v>3.4989595462014268E-3</v>
      </c>
    </row>
    <row r="132" spans="2:11" x14ac:dyDescent="0.2">
      <c r="B132" s="2">
        <v>41426</v>
      </c>
      <c r="C132" s="1">
        <v>103.35850000000001</v>
      </c>
      <c r="E132">
        <f t="shared" si="9"/>
        <v>103.35832259157964</v>
      </c>
      <c r="F132">
        <f t="shared" si="10"/>
        <v>0.35638849519645099</v>
      </c>
      <c r="G132">
        <f t="shared" si="7"/>
        <v>103.71471108677609</v>
      </c>
      <c r="I132">
        <f t="shared" si="8"/>
        <v>0.12688633834219959</v>
      </c>
      <c r="J132">
        <f t="shared" si="11"/>
        <v>0.35621108677608504</v>
      </c>
      <c r="K132">
        <f t="shared" si="12"/>
        <v>3.44636470900879E-3</v>
      </c>
    </row>
    <row r="133" spans="2:11" x14ac:dyDescent="0.2">
      <c r="B133" s="2">
        <v>41456</v>
      </c>
      <c r="C133" s="1">
        <v>107.779565217391</v>
      </c>
      <c r="E133">
        <f t="shared" si="9"/>
        <v>107.73891667608486</v>
      </c>
      <c r="F133">
        <f t="shared" si="10"/>
        <v>0.39663055108953865</v>
      </c>
      <c r="G133">
        <f t="shared" si="7"/>
        <v>108.1355472271744</v>
      </c>
      <c r="I133">
        <f t="shared" si="8"/>
        <v>0.12672319128943113</v>
      </c>
      <c r="J133">
        <f t="shared" si="11"/>
        <v>0.35598200978340344</v>
      </c>
      <c r="K133">
        <f t="shared" si="12"/>
        <v>3.3028710875330496E-3</v>
      </c>
    </row>
    <row r="134" spans="2:11" x14ac:dyDescent="0.2">
      <c r="B134" s="2">
        <v>41487</v>
      </c>
      <c r="C134" s="1">
        <v>111.058181818181</v>
      </c>
      <c r="E134">
        <f t="shared" si="9"/>
        <v>111.02895547227092</v>
      </c>
      <c r="F134">
        <f t="shared" si="10"/>
        <v>0.42556463354050394</v>
      </c>
      <c r="G134">
        <f t="shared" si="7"/>
        <v>111.45452010581143</v>
      </c>
      <c r="I134">
        <f t="shared" si="8"/>
        <v>0.15708403824181988</v>
      </c>
      <c r="J134">
        <f t="shared" si="11"/>
        <v>0.396338287630428</v>
      </c>
      <c r="K134">
        <f t="shared" si="12"/>
        <v>3.5687446088329953E-3</v>
      </c>
    </row>
    <row r="135" spans="2:11" x14ac:dyDescent="0.2">
      <c r="B135" s="2">
        <v>41518</v>
      </c>
      <c r="C135" s="1">
        <v>111.962857142857</v>
      </c>
      <c r="E135">
        <f t="shared" si="9"/>
        <v>111.95777377248655</v>
      </c>
      <c r="F135">
        <f t="shared" si="10"/>
        <v>0.43059717020725513</v>
      </c>
      <c r="G135">
        <f t="shared" si="7"/>
        <v>112.3883709426938</v>
      </c>
      <c r="I135">
        <f t="shared" si="8"/>
        <v>0.1810619938515462</v>
      </c>
      <c r="J135">
        <f t="shared" si="11"/>
        <v>0.42551379983679283</v>
      </c>
      <c r="K135">
        <f t="shared" si="12"/>
        <v>3.8004907225068943E-3</v>
      </c>
    </row>
    <row r="136" spans="2:11" x14ac:dyDescent="0.2">
      <c r="B136" s="2">
        <v>41548</v>
      </c>
      <c r="C136" s="1">
        <v>109.618695652173</v>
      </c>
      <c r="E136">
        <f t="shared" si="9"/>
        <v>109.6463924050782</v>
      </c>
      <c r="F136">
        <f t="shared" si="10"/>
        <v>0.40317738483109916</v>
      </c>
      <c r="G136">
        <f t="shared" ref="G136:G199" si="13">E136+F136</f>
        <v>110.0495697899093</v>
      </c>
      <c r="I136">
        <f t="shared" ref="I136:I199" si="14">POWER(C136-G136,2)</f>
        <v>0.18565252256999687</v>
      </c>
      <c r="J136">
        <f t="shared" si="11"/>
        <v>0.43087413773629635</v>
      </c>
      <c r="K136">
        <f t="shared" si="12"/>
        <v>3.9306628780138653E-3</v>
      </c>
    </row>
    <row r="137" spans="2:11" x14ac:dyDescent="0.2">
      <c r="B137" s="2">
        <v>41579</v>
      </c>
      <c r="C137" s="1">
        <v>108.150476190476</v>
      </c>
      <c r="E137">
        <f t="shared" ref="E137:E200" si="15">$C$2*C137+(1-$C$2)*(E136+F136)</f>
        <v>108.16946712647032</v>
      </c>
      <c r="F137">
        <f t="shared" ref="F137:F200" si="16">$C$3*(E137-E136)+(1-$C$3)*F136</f>
        <v>0.38437635819670934</v>
      </c>
      <c r="G137">
        <f t="shared" si="13"/>
        <v>108.55384348466703</v>
      </c>
      <c r="I137">
        <f t="shared" si="14"/>
        <v>0.16270517402299153</v>
      </c>
      <c r="J137">
        <f t="shared" ref="J137:J200" si="17">ABS(C137-G137)</f>
        <v>0.40336729419102824</v>
      </c>
      <c r="K137">
        <f t="shared" ref="K137:K200" si="18">J137/C137</f>
        <v>3.729685789645647E-3</v>
      </c>
    </row>
    <row r="138" spans="2:11" x14ac:dyDescent="0.2">
      <c r="B138" s="2">
        <v>41609</v>
      </c>
      <c r="C138" s="1">
        <v>111.070454545454</v>
      </c>
      <c r="E138">
        <f t="shared" si="15"/>
        <v>111.04528843484613</v>
      </c>
      <c r="F138">
        <f t="shared" si="16"/>
        <v>0.40929080769850029</v>
      </c>
      <c r="G138">
        <f t="shared" si="13"/>
        <v>111.45457924254463</v>
      </c>
      <c r="I138">
        <f t="shared" si="14"/>
        <v>0.14755178291496587</v>
      </c>
      <c r="J138">
        <f t="shared" si="17"/>
        <v>0.38412469709062691</v>
      </c>
      <c r="K138">
        <f t="shared" si="18"/>
        <v>3.4583877293257077E-3</v>
      </c>
    </row>
    <row r="139" spans="2:11" x14ac:dyDescent="0.2">
      <c r="B139" s="2">
        <v>41640</v>
      </c>
      <c r="C139" s="1">
        <v>107.926956521739</v>
      </c>
      <c r="E139">
        <f t="shared" si="15"/>
        <v>107.96223274894706</v>
      </c>
      <c r="F139">
        <f t="shared" si="16"/>
        <v>0.37436734276252465</v>
      </c>
      <c r="G139">
        <f t="shared" si="13"/>
        <v>108.33660009170958</v>
      </c>
      <c r="I139">
        <f t="shared" si="14"/>
        <v>0.16780785441824442</v>
      </c>
      <c r="J139">
        <f t="shared" si="17"/>
        <v>0.4096435699705836</v>
      </c>
      <c r="K139">
        <f t="shared" si="18"/>
        <v>3.7955630657302178E-3</v>
      </c>
    </row>
    <row r="140" spans="2:11" x14ac:dyDescent="0.2">
      <c r="B140" s="2">
        <v>41671</v>
      </c>
      <c r="C140" s="1">
        <v>108.837999999999</v>
      </c>
      <c r="E140">
        <f t="shared" si="15"/>
        <v>108.83298600091611</v>
      </c>
      <c r="F140">
        <f t="shared" si="16"/>
        <v>0.37933120185458985</v>
      </c>
      <c r="G140">
        <f t="shared" si="13"/>
        <v>109.21231720277069</v>
      </c>
      <c r="I140">
        <f t="shared" si="14"/>
        <v>0.14011336829082424</v>
      </c>
      <c r="J140">
        <f t="shared" si="17"/>
        <v>0.37431720277169234</v>
      </c>
      <c r="K140">
        <f t="shared" si="18"/>
        <v>3.4392142704909663E-3</v>
      </c>
    </row>
    <row r="141" spans="2:11" x14ac:dyDescent="0.2">
      <c r="B141" s="2">
        <v>41699</v>
      </c>
      <c r="C141" s="1">
        <v>107.86809523809499</v>
      </c>
      <c r="E141">
        <f t="shared" si="15"/>
        <v>107.88153745774176</v>
      </c>
      <c r="F141">
        <f t="shared" si="16"/>
        <v>0.36602340440430048</v>
      </c>
      <c r="G141">
        <f t="shared" si="13"/>
        <v>108.24756086214606</v>
      </c>
      <c r="I141">
        <f t="shared" si="14"/>
        <v>0.14399415983646402</v>
      </c>
      <c r="J141">
        <f t="shared" si="17"/>
        <v>0.37946562405106476</v>
      </c>
      <c r="K141">
        <f t="shared" si="18"/>
        <v>3.5178671062419172E-3</v>
      </c>
    </row>
    <row r="142" spans="2:11" x14ac:dyDescent="0.2">
      <c r="B142" s="2">
        <v>41730</v>
      </c>
      <c r="C142" s="1">
        <v>108.00363636363601</v>
      </c>
      <c r="E142">
        <f t="shared" si="15"/>
        <v>108.0060756086211</v>
      </c>
      <c r="F142">
        <f t="shared" si="16"/>
        <v>0.36360855186905089</v>
      </c>
      <c r="G142">
        <f t="shared" si="13"/>
        <v>108.36968416049015</v>
      </c>
      <c r="I142">
        <f t="shared" si="14"/>
        <v>0.13399098958177497</v>
      </c>
      <c r="J142">
        <f t="shared" si="17"/>
        <v>0.36604779685414712</v>
      </c>
      <c r="K142">
        <f t="shared" si="18"/>
        <v>3.3892173372913636E-3</v>
      </c>
    </row>
    <row r="143" spans="2:11" x14ac:dyDescent="0.2">
      <c r="B143" s="2">
        <v>41760</v>
      </c>
      <c r="C143" s="1">
        <v>109.832272727272</v>
      </c>
      <c r="E143">
        <f t="shared" si="15"/>
        <v>109.81764684160419</v>
      </c>
      <c r="F143">
        <f t="shared" si="16"/>
        <v>0.37808817868019123</v>
      </c>
      <c r="G143">
        <f t="shared" si="13"/>
        <v>110.19573502028437</v>
      </c>
      <c r="I143">
        <f t="shared" si="14"/>
        <v>0.13210483844181384</v>
      </c>
      <c r="J143">
        <f t="shared" si="17"/>
        <v>0.36346229301237543</v>
      </c>
      <c r="K143">
        <f t="shared" si="18"/>
        <v>3.3092485841106118E-3</v>
      </c>
    </row>
    <row r="144" spans="2:11" x14ac:dyDescent="0.2">
      <c r="B144" s="2">
        <v>41791</v>
      </c>
      <c r="C144" s="1">
        <v>112.240952380952</v>
      </c>
      <c r="E144">
        <f t="shared" si="15"/>
        <v>112.22050020734531</v>
      </c>
      <c r="F144">
        <f t="shared" si="16"/>
        <v>0.39833583055080057</v>
      </c>
      <c r="G144">
        <f t="shared" si="13"/>
        <v>112.61883603789612</v>
      </c>
      <c r="I144">
        <f t="shared" si="14"/>
        <v>0.14279605818546218</v>
      </c>
      <c r="J144">
        <f t="shared" si="17"/>
        <v>0.37788365694412107</v>
      </c>
      <c r="K144">
        <f t="shared" si="18"/>
        <v>3.366718198020657E-3</v>
      </c>
    </row>
    <row r="145" spans="2:11" x14ac:dyDescent="0.2">
      <c r="B145" s="2">
        <v>41821</v>
      </c>
      <c r="C145" s="1">
        <v>107.46260869565199</v>
      </c>
      <c r="E145">
        <f t="shared" si="15"/>
        <v>107.51417096907443</v>
      </c>
      <c r="F145">
        <f t="shared" si="16"/>
        <v>0.34728917986258373</v>
      </c>
      <c r="G145">
        <f t="shared" si="13"/>
        <v>107.86146014893701</v>
      </c>
      <c r="I145">
        <f t="shared" si="14"/>
        <v>0.15908248178757162</v>
      </c>
      <c r="J145">
        <f t="shared" si="17"/>
        <v>0.39885145328501892</v>
      </c>
      <c r="K145">
        <f t="shared" si="18"/>
        <v>3.71153704647742E-3</v>
      </c>
    </row>
    <row r="146" spans="2:11" x14ac:dyDescent="0.2">
      <c r="B146" s="2">
        <v>41852</v>
      </c>
      <c r="C146" s="1">
        <v>102.40190476190401</v>
      </c>
      <c r="E146">
        <f t="shared" si="15"/>
        <v>102.45650031577435</v>
      </c>
      <c r="F146">
        <f t="shared" si="16"/>
        <v>0.29323958153095708</v>
      </c>
      <c r="G146">
        <f t="shared" si="13"/>
        <v>102.7497398973053</v>
      </c>
      <c r="I146">
        <f t="shared" si="14"/>
        <v>0.12098928141963874</v>
      </c>
      <c r="J146">
        <f t="shared" si="17"/>
        <v>0.34783513540129718</v>
      </c>
      <c r="K146">
        <f t="shared" si="18"/>
        <v>3.3967643102933791E-3</v>
      </c>
    </row>
    <row r="147" spans="2:11" x14ac:dyDescent="0.2">
      <c r="B147" s="2">
        <v>41883</v>
      </c>
      <c r="C147" s="1">
        <v>97.852727272727194</v>
      </c>
      <c r="E147">
        <f t="shared" si="15"/>
        <v>97.901697398972971</v>
      </c>
      <c r="F147">
        <f t="shared" si="16"/>
        <v>0.24475915654763372</v>
      </c>
      <c r="G147">
        <f t="shared" si="13"/>
        <v>98.146456555520601</v>
      </c>
      <c r="I147">
        <f t="shared" si="14"/>
        <v>8.6276891570329417E-2</v>
      </c>
      <c r="J147">
        <f t="shared" si="17"/>
        <v>0.29372928279340726</v>
      </c>
      <c r="K147">
        <f t="shared" si="18"/>
        <v>3.0017485560187691E-3</v>
      </c>
    </row>
    <row r="148" spans="2:11" x14ac:dyDescent="0.2">
      <c r="B148" s="2">
        <v>41913</v>
      </c>
      <c r="C148" s="1">
        <v>87.584782608695605</v>
      </c>
      <c r="E148">
        <f t="shared" si="15"/>
        <v>87.690399348163851</v>
      </c>
      <c r="F148">
        <f t="shared" si="16"/>
        <v>0.14019858447406619</v>
      </c>
      <c r="G148">
        <f t="shared" si="13"/>
        <v>87.830597932637914</v>
      </c>
      <c r="I148">
        <f t="shared" si="14"/>
        <v>6.0425173484862683E-2</v>
      </c>
      <c r="J148">
        <f t="shared" si="17"/>
        <v>0.24581532394230976</v>
      </c>
      <c r="K148">
        <f t="shared" si="18"/>
        <v>2.8065985508069833E-3</v>
      </c>
    </row>
    <row r="149" spans="2:11" x14ac:dyDescent="0.2">
      <c r="B149" s="2">
        <v>41944</v>
      </c>
      <c r="C149" s="1">
        <v>79.229500000000002</v>
      </c>
      <c r="E149">
        <f t="shared" si="15"/>
        <v>79.31551097932639</v>
      </c>
      <c r="F149">
        <f t="shared" si="16"/>
        <v>5.5047714940950926E-2</v>
      </c>
      <c r="G149">
        <f t="shared" si="13"/>
        <v>79.370558694267345</v>
      </c>
      <c r="I149">
        <f t="shared" si="14"/>
        <v>1.9897555228407828E-2</v>
      </c>
      <c r="J149">
        <f t="shared" si="17"/>
        <v>0.1410586942673433</v>
      </c>
      <c r="K149">
        <f t="shared" si="18"/>
        <v>1.7803809725839908E-3</v>
      </c>
    </row>
    <row r="150" spans="2:11" x14ac:dyDescent="0.2">
      <c r="B150" s="2">
        <v>41974</v>
      </c>
      <c r="C150" s="1">
        <v>62.903913043478198</v>
      </c>
      <c r="E150">
        <f t="shared" si="15"/>
        <v>63.068579499986086</v>
      </c>
      <c r="F150">
        <f t="shared" si="16"/>
        <v>-0.10797207700186162</v>
      </c>
      <c r="G150">
        <f t="shared" si="13"/>
        <v>62.960607422984225</v>
      </c>
      <c r="I150">
        <f t="shared" si="14"/>
        <v>3.2142526675733971E-3</v>
      </c>
      <c r="J150">
        <f t="shared" si="17"/>
        <v>5.6694379506026849E-2</v>
      </c>
      <c r="K150">
        <f t="shared" si="18"/>
        <v>9.0128541712247029E-4</v>
      </c>
    </row>
    <row r="151" spans="2:11" x14ac:dyDescent="0.2">
      <c r="B151" s="2">
        <v>42005</v>
      </c>
      <c r="C151" s="1">
        <v>48.933181818181801</v>
      </c>
      <c r="E151">
        <f t="shared" si="15"/>
        <v>49.073456074229824</v>
      </c>
      <c r="F151">
        <f t="shared" si="16"/>
        <v>-0.24684359048940563</v>
      </c>
      <c r="G151">
        <f t="shared" si="13"/>
        <v>48.826612483740419</v>
      </c>
      <c r="I151">
        <f t="shared" si="14"/>
        <v>1.1357023043279046E-2</v>
      </c>
      <c r="J151">
        <f t="shared" si="17"/>
        <v>0.10656933444138161</v>
      </c>
      <c r="K151">
        <f t="shared" si="18"/>
        <v>2.1778541775058719E-3</v>
      </c>
    </row>
    <row r="152" spans="2:11" x14ac:dyDescent="0.2">
      <c r="B152" s="2">
        <v>42036</v>
      </c>
      <c r="C152" s="1">
        <v>58.253999999999998</v>
      </c>
      <c r="E152">
        <f t="shared" si="15"/>
        <v>58.159726124837398</v>
      </c>
      <c r="F152">
        <f t="shared" si="16"/>
        <v>-0.15351245407843583</v>
      </c>
      <c r="G152">
        <f t="shared" si="13"/>
        <v>58.00621367075896</v>
      </c>
      <c r="I152">
        <f t="shared" si="14"/>
        <v>6.1398064958747889E-2</v>
      </c>
      <c r="J152">
        <f t="shared" si="17"/>
        <v>0.24778632924103761</v>
      </c>
      <c r="K152">
        <f t="shared" si="18"/>
        <v>4.2535504727750474E-3</v>
      </c>
    </row>
    <row r="153" spans="2:11" x14ac:dyDescent="0.2">
      <c r="B153" s="2">
        <v>42064</v>
      </c>
      <c r="C153" s="1">
        <v>56.524545454545397</v>
      </c>
      <c r="E153">
        <f t="shared" si="15"/>
        <v>56.539362136707531</v>
      </c>
      <c r="F153">
        <f t="shared" si="16"/>
        <v>-0.16818096941895014</v>
      </c>
      <c r="G153">
        <f t="shared" si="13"/>
        <v>56.371181167288583</v>
      </c>
      <c r="I153">
        <f t="shared" si="14"/>
        <v>2.3520604605790477E-2</v>
      </c>
      <c r="J153">
        <f t="shared" si="17"/>
        <v>0.15336428725681372</v>
      </c>
      <c r="K153">
        <f t="shared" si="18"/>
        <v>2.7132334461697294E-3</v>
      </c>
    </row>
    <row r="154" spans="2:11" x14ac:dyDescent="0.2">
      <c r="B154" s="2">
        <v>42095</v>
      </c>
      <c r="C154" s="1">
        <v>59.826363636363602</v>
      </c>
      <c r="E154">
        <f t="shared" si="15"/>
        <v>59.791811811672858</v>
      </c>
      <c r="F154">
        <f t="shared" si="16"/>
        <v>-0.13397466297510738</v>
      </c>
      <c r="G154">
        <f t="shared" si="13"/>
        <v>59.657837148697752</v>
      </c>
      <c r="I154">
        <f t="shared" si="14"/>
        <v>2.8401177044988152E-2</v>
      </c>
      <c r="J154">
        <f t="shared" si="17"/>
        <v>0.16852648766585077</v>
      </c>
      <c r="K154">
        <f t="shared" si="18"/>
        <v>2.8169268098958491E-3</v>
      </c>
    </row>
    <row r="155" spans="2:11" x14ac:dyDescent="0.2">
      <c r="B155" s="2">
        <v>42125</v>
      </c>
      <c r="C155" s="1">
        <v>65.193809523809506</v>
      </c>
      <c r="E155">
        <f t="shared" si="15"/>
        <v>65.138449800058396</v>
      </c>
      <c r="F155">
        <f t="shared" si="16"/>
        <v>-7.9168536461500905E-2</v>
      </c>
      <c r="G155">
        <f t="shared" si="13"/>
        <v>65.059281263596901</v>
      </c>
      <c r="I155">
        <f t="shared" si="14"/>
        <v>1.8097852795830302E-2</v>
      </c>
      <c r="J155">
        <f t="shared" si="17"/>
        <v>0.13452826021260478</v>
      </c>
      <c r="K155">
        <f t="shared" si="18"/>
        <v>2.0635127966171936E-3</v>
      </c>
    </row>
    <row r="156" spans="2:11" x14ac:dyDescent="0.2">
      <c r="B156" s="2">
        <v>42156</v>
      </c>
      <c r="C156" s="1">
        <v>62.62</v>
      </c>
      <c r="E156">
        <f t="shared" si="15"/>
        <v>62.644392812635971</v>
      </c>
      <c r="F156">
        <f t="shared" si="16"/>
        <v>-0.10331742097111016</v>
      </c>
      <c r="G156">
        <f t="shared" si="13"/>
        <v>62.541075391664862</v>
      </c>
      <c r="I156">
        <f t="shared" si="14"/>
        <v>6.2290938008545899E-3</v>
      </c>
      <c r="J156">
        <f t="shared" si="17"/>
        <v>7.8924608335135815E-2</v>
      </c>
      <c r="K156">
        <f t="shared" si="18"/>
        <v>1.2603738156361517E-3</v>
      </c>
    </row>
    <row r="157" spans="2:11" x14ac:dyDescent="0.2">
      <c r="B157" s="2">
        <v>42186</v>
      </c>
      <c r="C157" s="1">
        <v>56.829565217391298</v>
      </c>
      <c r="E157">
        <f t="shared" si="15"/>
        <v>56.88668031913403</v>
      </c>
      <c r="F157">
        <f t="shared" si="16"/>
        <v>-0.15986137169641845</v>
      </c>
      <c r="G157">
        <f t="shared" si="13"/>
        <v>56.726818947437614</v>
      </c>
      <c r="I157">
        <f t="shared" si="14"/>
        <v>1.0556795989395323E-2</v>
      </c>
      <c r="J157">
        <f t="shared" si="17"/>
        <v>0.10274626995368408</v>
      </c>
      <c r="K157">
        <f t="shared" si="18"/>
        <v>1.8079721278993896E-3</v>
      </c>
    </row>
    <row r="158" spans="2:11" x14ac:dyDescent="0.2">
      <c r="B158" s="2">
        <v>42217</v>
      </c>
      <c r="C158" s="1">
        <v>47.533809523809502</v>
      </c>
      <c r="E158">
        <f t="shared" si="15"/>
        <v>47.625739618045785</v>
      </c>
      <c r="F158">
        <f t="shared" si="16"/>
        <v>-0.25087216499033671</v>
      </c>
      <c r="G158">
        <f t="shared" si="13"/>
        <v>47.374867453055451</v>
      </c>
      <c r="I158">
        <f t="shared" si="14"/>
        <v>2.5262581855585817E-2</v>
      </c>
      <c r="J158">
        <f t="shared" si="17"/>
        <v>0.1589420707540512</v>
      </c>
      <c r="K158">
        <f t="shared" si="18"/>
        <v>3.3437688320444364E-3</v>
      </c>
    </row>
    <row r="159" spans="2:11" x14ac:dyDescent="0.2">
      <c r="B159" s="2">
        <v>42248</v>
      </c>
      <c r="C159" s="1">
        <v>48.030454545454504</v>
      </c>
      <c r="E159">
        <f t="shared" si="15"/>
        <v>48.023898674530514</v>
      </c>
      <c r="F159">
        <f t="shared" si="16"/>
        <v>-0.24438185277558605</v>
      </c>
      <c r="G159">
        <f t="shared" si="13"/>
        <v>47.779516821754925</v>
      </c>
      <c r="I159">
        <f t="shared" si="14"/>
        <v>6.29697411755262E-2</v>
      </c>
      <c r="J159">
        <f t="shared" si="17"/>
        <v>0.2509377236995789</v>
      </c>
      <c r="K159">
        <f t="shared" si="18"/>
        <v>5.224554422280126E-3</v>
      </c>
    </row>
    <row r="160" spans="2:11" x14ac:dyDescent="0.2">
      <c r="B160" s="2">
        <v>42278</v>
      </c>
      <c r="C160" s="1">
        <v>48.906363636363601</v>
      </c>
      <c r="E160">
        <f t="shared" si="15"/>
        <v>48.895095168217509</v>
      </c>
      <c r="F160">
        <f t="shared" si="16"/>
        <v>-0.23322606931096024</v>
      </c>
      <c r="G160">
        <f t="shared" si="13"/>
        <v>48.66186909890655</v>
      </c>
      <c r="I160">
        <f t="shared" si="14"/>
        <v>5.9777578846337241E-2</v>
      </c>
      <c r="J160">
        <f t="shared" si="17"/>
        <v>0.24449453745705085</v>
      </c>
      <c r="K160">
        <f t="shared" si="18"/>
        <v>4.9992377121913139E-3</v>
      </c>
    </row>
    <row r="161" spans="2:11" x14ac:dyDescent="0.2">
      <c r="B161" s="2">
        <v>42309</v>
      </c>
      <c r="C161" s="1">
        <v>45.095238095238102</v>
      </c>
      <c r="E161">
        <f t="shared" si="15"/>
        <v>45.130904405274791</v>
      </c>
      <c r="F161">
        <f t="shared" si="16"/>
        <v>-0.26853571624727779</v>
      </c>
      <c r="G161">
        <f t="shared" si="13"/>
        <v>44.862368689027512</v>
      </c>
      <c r="I161">
        <f t="shared" si="14"/>
        <v>5.4228160348872588E-2</v>
      </c>
      <c r="J161">
        <f t="shared" si="17"/>
        <v>0.2328694062105896</v>
      </c>
      <c r="K161">
        <f t="shared" si="18"/>
        <v>5.163946705831448E-3</v>
      </c>
    </row>
    <row r="162" spans="2:11" x14ac:dyDescent="0.2">
      <c r="B162" s="2">
        <v>42339</v>
      </c>
      <c r="C162" s="1">
        <v>38.525217391304302</v>
      </c>
      <c r="E162">
        <f t="shared" si="15"/>
        <v>38.588588904281529</v>
      </c>
      <c r="F162">
        <f t="shared" si="16"/>
        <v>-0.33127351409473765</v>
      </c>
      <c r="G162">
        <f t="shared" si="13"/>
        <v>38.25731539018679</v>
      </c>
      <c r="I162">
        <f t="shared" si="14"/>
        <v>7.1771482202767731E-2</v>
      </c>
      <c r="J162">
        <f t="shared" si="17"/>
        <v>0.26790200111751261</v>
      </c>
      <c r="K162">
        <f t="shared" si="18"/>
        <v>6.9539387252875555E-3</v>
      </c>
    </row>
    <row r="163" spans="2:11" x14ac:dyDescent="0.2">
      <c r="B163" s="2">
        <v>42370</v>
      </c>
      <c r="C163" s="1">
        <v>32.045238095238098</v>
      </c>
      <c r="E163">
        <f t="shared" si="15"/>
        <v>32.107358868187582</v>
      </c>
      <c r="F163">
        <f t="shared" si="16"/>
        <v>-0.39277307931472977</v>
      </c>
      <c r="G163">
        <f t="shared" si="13"/>
        <v>31.714585788872853</v>
      </c>
      <c r="I163">
        <f t="shared" si="14"/>
        <v>0.10933094770465578</v>
      </c>
      <c r="J163">
        <f t="shared" si="17"/>
        <v>0.3306523063652449</v>
      </c>
      <c r="K163">
        <f t="shared" si="18"/>
        <v>1.0318297694732361E-2</v>
      </c>
    </row>
    <row r="164" spans="2:11" x14ac:dyDescent="0.2">
      <c r="B164" s="2">
        <v>42401</v>
      </c>
      <c r="C164" s="1">
        <v>33.762380952380902</v>
      </c>
      <c r="E164">
        <f t="shared" si="15"/>
        <v>33.741903000745815</v>
      </c>
      <c r="F164">
        <f t="shared" si="16"/>
        <v>-0.37249990719600012</v>
      </c>
      <c r="G164">
        <f t="shared" si="13"/>
        <v>33.369403093549813</v>
      </c>
      <c r="I164">
        <f t="shared" si="14"/>
        <v>0.15443159753146665</v>
      </c>
      <c r="J164">
        <f t="shared" si="17"/>
        <v>0.39297785883108816</v>
      </c>
      <c r="K164">
        <f t="shared" si="18"/>
        <v>1.1639518533522608E-2</v>
      </c>
    </row>
    <row r="165" spans="2:11" x14ac:dyDescent="0.2">
      <c r="B165" s="2">
        <v>42430</v>
      </c>
      <c r="C165" s="1">
        <v>39.792173913043399</v>
      </c>
      <c r="E165">
        <f t="shared" si="15"/>
        <v>39.727946204848465</v>
      </c>
      <c r="F165">
        <f t="shared" si="16"/>
        <v>-0.30891447608301364</v>
      </c>
      <c r="G165">
        <f t="shared" si="13"/>
        <v>39.419031728765454</v>
      </c>
      <c r="I165">
        <f t="shared" si="14"/>
        <v>0.1392350896877162</v>
      </c>
      <c r="J165">
        <f t="shared" si="17"/>
        <v>0.37314218427794543</v>
      </c>
      <c r="K165">
        <f t="shared" si="18"/>
        <v>9.3772756696671421E-3</v>
      </c>
    </row>
    <row r="166" spans="2:11" x14ac:dyDescent="0.2">
      <c r="B166" s="2">
        <v>42461</v>
      </c>
      <c r="C166" s="1">
        <v>43.330476190476098</v>
      </c>
      <c r="E166">
        <f t="shared" si="15"/>
        <v>43.291361745858985</v>
      </c>
      <c r="F166">
        <f t="shared" si="16"/>
        <v>-0.27019117591207825</v>
      </c>
      <c r="G166">
        <f t="shared" si="13"/>
        <v>43.021170569946911</v>
      </c>
      <c r="I166">
        <f t="shared" si="14"/>
        <v>9.5669966890945618E-2</v>
      </c>
      <c r="J166">
        <f t="shared" si="17"/>
        <v>0.30930562052918731</v>
      </c>
      <c r="K166">
        <f t="shared" si="18"/>
        <v>7.1382926688715164E-3</v>
      </c>
    </row>
    <row r="167" spans="2:11" x14ac:dyDescent="0.2">
      <c r="B167" s="2">
        <v>42491</v>
      </c>
      <c r="C167" s="1">
        <v>47.734999999999999</v>
      </c>
      <c r="E167">
        <f t="shared" si="15"/>
        <v>47.687861705699468</v>
      </c>
      <c r="F167">
        <f t="shared" si="16"/>
        <v>-0.22352426455455265</v>
      </c>
      <c r="G167">
        <f t="shared" si="13"/>
        <v>47.464337441144913</v>
      </c>
      <c r="I167">
        <f t="shared" si="14"/>
        <v>7.3258220765983109E-2</v>
      </c>
      <c r="J167">
        <f t="shared" si="17"/>
        <v>0.27066255885508639</v>
      </c>
      <c r="K167">
        <f t="shared" si="18"/>
        <v>5.6701070253500864E-3</v>
      </c>
    </row>
    <row r="168" spans="2:11" x14ac:dyDescent="0.2">
      <c r="B168" s="2">
        <v>42522</v>
      </c>
      <c r="C168" s="1">
        <v>49.877272727272697</v>
      </c>
      <c r="E168">
        <f t="shared" si="15"/>
        <v>49.853143374411417</v>
      </c>
      <c r="F168">
        <f t="shared" si="16"/>
        <v>-0.19963620522188763</v>
      </c>
      <c r="G168">
        <f t="shared" si="13"/>
        <v>49.653507169189531</v>
      </c>
      <c r="I168">
        <f t="shared" si="14"/>
        <v>5.0071024984270587E-2</v>
      </c>
      <c r="J168">
        <f t="shared" si="17"/>
        <v>0.22376555808316567</v>
      </c>
      <c r="K168">
        <f t="shared" si="18"/>
        <v>4.486323045502276E-3</v>
      </c>
    </row>
    <row r="169" spans="2:11" x14ac:dyDescent="0.2">
      <c r="B169" s="2">
        <v>42552</v>
      </c>
      <c r="C169" s="1">
        <v>46.598571428571397</v>
      </c>
      <c r="E169">
        <f t="shared" si="15"/>
        <v>46.629120785977577</v>
      </c>
      <c r="F169">
        <f t="shared" si="16"/>
        <v>-0.22988006905400715</v>
      </c>
      <c r="G169">
        <f t="shared" si="13"/>
        <v>46.399240716923572</v>
      </c>
      <c r="I169">
        <f t="shared" si="14"/>
        <v>3.9732732606028318E-2</v>
      </c>
      <c r="J169">
        <f t="shared" si="17"/>
        <v>0.1993307116478249</v>
      </c>
      <c r="K169">
        <f t="shared" si="18"/>
        <v>4.27761421728065E-3</v>
      </c>
    </row>
    <row r="170" spans="2:11" x14ac:dyDescent="0.2">
      <c r="B170" s="2">
        <v>42583</v>
      </c>
      <c r="C170" s="1">
        <v>47.052173913043397</v>
      </c>
      <c r="E170">
        <f t="shared" si="15"/>
        <v>47.0456445810822</v>
      </c>
      <c r="F170">
        <f t="shared" si="16"/>
        <v>-0.22341603041242084</v>
      </c>
      <c r="G170">
        <f t="shared" si="13"/>
        <v>46.822228550669777</v>
      </c>
      <c r="I170">
        <f t="shared" si="14"/>
        <v>5.2874869677135346E-2</v>
      </c>
      <c r="J170">
        <f t="shared" si="17"/>
        <v>0.22994536237361984</v>
      </c>
      <c r="K170">
        <f t="shared" si="18"/>
        <v>4.887029508957E-3</v>
      </c>
    </row>
    <row r="171" spans="2:11" x14ac:dyDescent="0.2">
      <c r="B171" s="2">
        <v>42614</v>
      </c>
      <c r="C171" s="1">
        <v>47.376818181818102</v>
      </c>
      <c r="E171">
        <f t="shared" si="15"/>
        <v>47.37127228550662</v>
      </c>
      <c r="F171">
        <f t="shared" si="16"/>
        <v>-0.21792559306405243</v>
      </c>
      <c r="G171">
        <f t="shared" si="13"/>
        <v>47.153346692442568</v>
      </c>
      <c r="I171">
        <f t="shared" si="14"/>
        <v>4.9939506563719337E-2</v>
      </c>
      <c r="J171">
        <f t="shared" si="17"/>
        <v>0.22347148937553385</v>
      </c>
      <c r="K171">
        <f t="shared" si="18"/>
        <v>4.716895265484417E-3</v>
      </c>
    </row>
    <row r="172" spans="2:11" x14ac:dyDescent="0.2">
      <c r="B172" s="2">
        <v>42644</v>
      </c>
      <c r="C172" s="1">
        <v>51.413809523809498</v>
      </c>
      <c r="E172">
        <f t="shared" si="15"/>
        <v>51.371204895495829</v>
      </c>
      <c r="F172">
        <f t="shared" si="16"/>
        <v>-0.17574701103351981</v>
      </c>
      <c r="G172">
        <f t="shared" si="13"/>
        <v>51.195457884462307</v>
      </c>
      <c r="I172">
        <f t="shared" si="14"/>
        <v>4.7677438405605545E-2</v>
      </c>
      <c r="J172">
        <f t="shared" si="17"/>
        <v>0.21835163934719048</v>
      </c>
      <c r="K172">
        <f t="shared" si="18"/>
        <v>4.2469453512498983E-3</v>
      </c>
    </row>
    <row r="173" spans="2:11" x14ac:dyDescent="0.2">
      <c r="B173" s="2">
        <v>42675</v>
      </c>
      <c r="C173" s="1">
        <v>46.942272727272702</v>
      </c>
      <c r="E173">
        <f t="shared" si="15"/>
        <v>46.984804578844596</v>
      </c>
      <c r="F173">
        <f t="shared" si="16"/>
        <v>-0.21785354408969695</v>
      </c>
      <c r="G173">
        <f t="shared" si="13"/>
        <v>46.766951034754896</v>
      </c>
      <c r="I173">
        <f t="shared" si="14"/>
        <v>3.0737695867307818E-2</v>
      </c>
      <c r="J173">
        <f t="shared" si="17"/>
        <v>0.17532169251780516</v>
      </c>
      <c r="K173">
        <f t="shared" si="18"/>
        <v>3.7348360514284622E-3</v>
      </c>
    </row>
    <row r="174" spans="2:11" x14ac:dyDescent="0.2">
      <c r="B174" s="2">
        <v>42705</v>
      </c>
      <c r="C174" s="1">
        <v>55.022727272727202</v>
      </c>
      <c r="E174">
        <f t="shared" si="15"/>
        <v>54.940169510347481</v>
      </c>
      <c r="F174">
        <f t="shared" si="16"/>
        <v>-0.13612135933377112</v>
      </c>
      <c r="G174">
        <f t="shared" si="13"/>
        <v>54.80404815101371</v>
      </c>
      <c r="I174">
        <f t="shared" si="14"/>
        <v>4.7820558273384453E-2</v>
      </c>
      <c r="J174">
        <f t="shared" si="17"/>
        <v>0.21867912171349246</v>
      </c>
      <c r="K174">
        <f t="shared" si="18"/>
        <v>3.9743417411787201E-3</v>
      </c>
    </row>
    <row r="175" spans="2:11" x14ac:dyDescent="0.2">
      <c r="B175" s="2">
        <v>42736</v>
      </c>
      <c r="C175" s="1">
        <v>55.710909090908999</v>
      </c>
      <c r="E175">
        <f t="shared" si="15"/>
        <v>55.701840481510047</v>
      </c>
      <c r="F175">
        <f t="shared" si="16"/>
        <v>-0.12714343602880773</v>
      </c>
      <c r="G175">
        <f t="shared" si="13"/>
        <v>55.574697045481237</v>
      </c>
      <c r="I175">
        <f t="shared" si="14"/>
        <v>1.8553721319614577E-2</v>
      </c>
      <c r="J175">
        <f t="shared" si="17"/>
        <v>0.13621204542776155</v>
      </c>
      <c r="K175">
        <f t="shared" si="18"/>
        <v>2.4449797651926821E-3</v>
      </c>
    </row>
    <row r="176" spans="2:11" x14ac:dyDescent="0.2">
      <c r="B176" s="2">
        <v>42767</v>
      </c>
      <c r="C176" s="1">
        <v>56.095999999999997</v>
      </c>
      <c r="E176">
        <f t="shared" si="15"/>
        <v>56.090786970454808</v>
      </c>
      <c r="F176">
        <f t="shared" si="16"/>
        <v>-0.12198253677907206</v>
      </c>
      <c r="G176">
        <f t="shared" si="13"/>
        <v>55.968804433675736</v>
      </c>
      <c r="I176">
        <f t="shared" si="14"/>
        <v>1.6178712092549421E-2</v>
      </c>
      <c r="J176">
        <f t="shared" si="17"/>
        <v>0.12719556632426077</v>
      </c>
      <c r="K176">
        <f t="shared" si="18"/>
        <v>2.2674623203839984E-3</v>
      </c>
    </row>
    <row r="177" spans="2:11" x14ac:dyDescent="0.2">
      <c r="B177" s="2">
        <v>42795</v>
      </c>
      <c r="C177" s="1">
        <v>52.655217391304298</v>
      </c>
      <c r="E177">
        <f t="shared" si="15"/>
        <v>52.688353261728011</v>
      </c>
      <c r="F177">
        <f t="shared" si="16"/>
        <v>-0.1547870484985493</v>
      </c>
      <c r="G177">
        <f t="shared" si="13"/>
        <v>52.533566213229463</v>
      </c>
      <c r="I177">
        <f t="shared" si="14"/>
        <v>1.4799009126995175E-2</v>
      </c>
      <c r="J177">
        <f t="shared" si="17"/>
        <v>0.12165117807483483</v>
      </c>
      <c r="K177">
        <f t="shared" si="18"/>
        <v>2.3103347417747972E-3</v>
      </c>
    </row>
    <row r="178" spans="2:11" x14ac:dyDescent="0.2">
      <c r="B178" s="2">
        <v>42826</v>
      </c>
      <c r="C178" s="1">
        <v>53.978000000000002</v>
      </c>
      <c r="E178">
        <f t="shared" si="15"/>
        <v>53.963555662132293</v>
      </c>
      <c r="F178">
        <f t="shared" si="16"/>
        <v>-0.14048715400952097</v>
      </c>
      <c r="G178">
        <f t="shared" si="13"/>
        <v>53.823068508122773</v>
      </c>
      <c r="I178">
        <f t="shared" si="14"/>
        <v>2.4003767175303631E-2</v>
      </c>
      <c r="J178">
        <f t="shared" si="17"/>
        <v>0.15493149187722821</v>
      </c>
      <c r="K178">
        <f t="shared" si="18"/>
        <v>2.870271071125796E-3</v>
      </c>
    </row>
    <row r="179" spans="2:11" x14ac:dyDescent="0.2">
      <c r="B179" s="2">
        <v>42856</v>
      </c>
      <c r="C179" s="1">
        <v>51.374347826086897</v>
      </c>
      <c r="E179">
        <f t="shared" si="15"/>
        <v>51.398835032907257</v>
      </c>
      <c r="F179">
        <f t="shared" si="16"/>
        <v>-0.16472948876167612</v>
      </c>
      <c r="G179">
        <f t="shared" si="13"/>
        <v>51.234105544145578</v>
      </c>
      <c r="I179">
        <f t="shared" si="14"/>
        <v>1.9667897644108392E-2</v>
      </c>
      <c r="J179">
        <f t="shared" si="17"/>
        <v>0.14024228194131894</v>
      </c>
      <c r="K179">
        <f t="shared" si="18"/>
        <v>2.729811430717698E-3</v>
      </c>
    </row>
    <row r="180" spans="2:11" x14ac:dyDescent="0.2">
      <c r="B180" s="2">
        <v>42887</v>
      </c>
      <c r="C180" s="1">
        <v>47.652727272727198</v>
      </c>
      <c r="E180">
        <f t="shared" si="15"/>
        <v>47.688541055441377</v>
      </c>
      <c r="F180">
        <f t="shared" si="16"/>
        <v>-0.20018513364871818</v>
      </c>
      <c r="G180">
        <f t="shared" si="13"/>
        <v>47.48835592179266</v>
      </c>
      <c r="I180">
        <f t="shared" si="14"/>
        <v>2.7017941008044874E-2</v>
      </c>
      <c r="J180">
        <f t="shared" si="17"/>
        <v>0.16437135093453747</v>
      </c>
      <c r="K180">
        <f t="shared" si="18"/>
        <v>3.4493587322673796E-3</v>
      </c>
    </row>
    <row r="181" spans="2:11" x14ac:dyDescent="0.2">
      <c r="B181" s="2">
        <v>42917</v>
      </c>
      <c r="C181" s="1">
        <v>49.253333333333302</v>
      </c>
      <c r="E181">
        <f t="shared" si="15"/>
        <v>49.235683559217897</v>
      </c>
      <c r="F181">
        <f t="shared" si="16"/>
        <v>-0.18271185727446582</v>
      </c>
      <c r="G181">
        <f t="shared" si="13"/>
        <v>49.052971701943434</v>
      </c>
      <c r="I181">
        <f t="shared" si="14"/>
        <v>4.0144783333209144E-2</v>
      </c>
      <c r="J181">
        <f t="shared" si="17"/>
        <v>0.20036163138986751</v>
      </c>
      <c r="K181">
        <f t="shared" si="18"/>
        <v>4.0679811462479894E-3</v>
      </c>
    </row>
    <row r="182" spans="2:11" x14ac:dyDescent="0.2">
      <c r="B182" s="2">
        <v>42948</v>
      </c>
      <c r="C182" s="1">
        <v>51.9278260869565</v>
      </c>
      <c r="E182">
        <f t="shared" si="15"/>
        <v>51.899077543106372</v>
      </c>
      <c r="F182">
        <f t="shared" si="16"/>
        <v>-0.15425079886283641</v>
      </c>
      <c r="G182">
        <f t="shared" si="13"/>
        <v>51.744826744243539</v>
      </c>
      <c r="I182">
        <f t="shared" si="14"/>
        <v>3.3488759433375682E-2</v>
      </c>
      <c r="J182">
        <f t="shared" si="17"/>
        <v>0.18299934271296081</v>
      </c>
      <c r="K182">
        <f t="shared" si="18"/>
        <v>3.5241094515783616E-3</v>
      </c>
    </row>
    <row r="183" spans="2:11" x14ac:dyDescent="0.2">
      <c r="B183" s="2">
        <v>42979</v>
      </c>
      <c r="C183" s="1">
        <v>55.557619047618999</v>
      </c>
      <c r="E183">
        <f t="shared" si="15"/>
        <v>55.519491124585244</v>
      </c>
      <c r="F183">
        <f t="shared" si="16"/>
        <v>-0.11650415505941933</v>
      </c>
      <c r="G183">
        <f t="shared" si="13"/>
        <v>55.402986969525827</v>
      </c>
      <c r="I183">
        <f t="shared" si="14"/>
        <v>2.3911079575412924E-2</v>
      </c>
      <c r="J183">
        <f t="shared" si="17"/>
        <v>0.15463207809317225</v>
      </c>
      <c r="K183">
        <f t="shared" si="18"/>
        <v>2.7832740269275315E-3</v>
      </c>
    </row>
    <row r="184" spans="2:11" x14ac:dyDescent="0.2">
      <c r="B184" s="2">
        <v>43009</v>
      </c>
      <c r="C184" s="1">
        <v>57.536363636363603</v>
      </c>
      <c r="E184">
        <f t="shared" si="15"/>
        <v>57.515029869695226</v>
      </c>
      <c r="F184">
        <f t="shared" si="16"/>
        <v>-9.5383726057725299E-2</v>
      </c>
      <c r="G184">
        <f t="shared" si="13"/>
        <v>57.4196461436375</v>
      </c>
      <c r="I184">
        <f t="shared" si="14"/>
        <v>1.3622973108267905E-2</v>
      </c>
      <c r="J184">
        <f t="shared" si="17"/>
        <v>0.11671749272610299</v>
      </c>
      <c r="K184">
        <f t="shared" si="18"/>
        <v>2.0285865381373578E-3</v>
      </c>
    </row>
    <row r="185" spans="2:11" x14ac:dyDescent="0.2">
      <c r="B185" s="2">
        <v>43040</v>
      </c>
      <c r="C185" s="1">
        <v>62.8363636363636</v>
      </c>
      <c r="E185">
        <f t="shared" si="15"/>
        <v>62.782196461436335</v>
      </c>
      <c r="F185">
        <f t="shared" si="16"/>
        <v>-4.1758222879736955E-2</v>
      </c>
      <c r="G185">
        <f t="shared" si="13"/>
        <v>62.7404382385566</v>
      </c>
      <c r="I185">
        <f t="shared" si="14"/>
        <v>9.2016819444313801E-3</v>
      </c>
      <c r="J185">
        <f t="shared" si="17"/>
        <v>9.5925397807000934E-2</v>
      </c>
      <c r="K185">
        <f t="shared" si="18"/>
        <v>1.5265905322294718E-3</v>
      </c>
    </row>
    <row r="186" spans="2:11" x14ac:dyDescent="0.2">
      <c r="B186" s="2">
        <v>43070</v>
      </c>
      <c r="C186" s="1">
        <v>64.064285714285703</v>
      </c>
      <c r="E186">
        <f t="shared" si="15"/>
        <v>64.051047239528415</v>
      </c>
      <c r="F186">
        <f t="shared" si="16"/>
        <v>-2.8652132870018783E-2</v>
      </c>
      <c r="G186">
        <f t="shared" si="13"/>
        <v>64.022395106658394</v>
      </c>
      <c r="I186">
        <f t="shared" si="14"/>
        <v>1.7548230073851502E-3</v>
      </c>
      <c r="J186">
        <f t="shared" si="17"/>
        <v>4.1890607627308896E-2</v>
      </c>
      <c r="K186">
        <f t="shared" si="18"/>
        <v>6.538839411108537E-4</v>
      </c>
    </row>
    <row r="187" spans="2:11" x14ac:dyDescent="0.2">
      <c r="B187" s="2">
        <v>43101</v>
      </c>
      <c r="C187" s="1">
        <v>68.889130434782601</v>
      </c>
      <c r="E187">
        <f t="shared" si="15"/>
        <v>68.840463081501369</v>
      </c>
      <c r="F187">
        <f t="shared" si="16"/>
        <v>1.9528546878410939E-2</v>
      </c>
      <c r="G187">
        <f t="shared" si="13"/>
        <v>68.859991628379774</v>
      </c>
      <c r="I187">
        <f t="shared" si="14"/>
        <v>8.4907003858142273E-4</v>
      </c>
      <c r="J187">
        <f t="shared" si="17"/>
        <v>2.9138806402826845E-2</v>
      </c>
      <c r="K187">
        <f t="shared" si="18"/>
        <v>4.2298119048566853E-4</v>
      </c>
    </row>
    <row r="188" spans="2:11" x14ac:dyDescent="0.2">
      <c r="B188" s="2">
        <v>43132</v>
      </c>
      <c r="C188" s="1">
        <v>65.6965</v>
      </c>
      <c r="E188">
        <f t="shared" si="15"/>
        <v>65.728134916283793</v>
      </c>
      <c r="F188">
        <f t="shared" si="16"/>
        <v>-1.1790020242548934E-2</v>
      </c>
      <c r="G188">
        <f t="shared" si="13"/>
        <v>65.71634489604125</v>
      </c>
      <c r="I188">
        <f t="shared" si="14"/>
        <v>3.9381989888798705E-4</v>
      </c>
      <c r="J188">
        <f t="shared" si="17"/>
        <v>1.9844896041249172E-2</v>
      </c>
      <c r="K188">
        <f t="shared" si="18"/>
        <v>3.0206930416763712E-4</v>
      </c>
    </row>
    <row r="189" spans="2:11" x14ac:dyDescent="0.2">
      <c r="B189" s="2">
        <v>43160</v>
      </c>
      <c r="C189" s="1">
        <v>66.891818181818095</v>
      </c>
      <c r="E189">
        <f t="shared" si="15"/>
        <v>66.880063448960328</v>
      </c>
      <c r="F189">
        <f t="shared" si="16"/>
        <v>-1.5283471335808714E-4</v>
      </c>
      <c r="G189">
        <f t="shared" si="13"/>
        <v>66.879910614246967</v>
      </c>
      <c r="I189">
        <f t="shared" si="14"/>
        <v>1.4179016546099471E-4</v>
      </c>
      <c r="J189">
        <f t="shared" si="17"/>
        <v>1.1907567571128652E-2</v>
      </c>
      <c r="K189">
        <f t="shared" si="18"/>
        <v>1.7801231742218146E-4</v>
      </c>
    </row>
    <row r="190" spans="2:11" x14ac:dyDescent="0.2">
      <c r="B190" s="2">
        <v>43191</v>
      </c>
      <c r="C190" s="1">
        <v>71.932857142857102</v>
      </c>
      <c r="E190">
        <f t="shared" si="15"/>
        <v>71.882327677570999</v>
      </c>
      <c r="F190">
        <f t="shared" si="16"/>
        <v>4.9871335919882194E-2</v>
      </c>
      <c r="G190">
        <f t="shared" si="13"/>
        <v>71.932199013490887</v>
      </c>
      <c r="I190">
        <f t="shared" si="14"/>
        <v>4.3313426267471698E-7</v>
      </c>
      <c r="J190">
        <f t="shared" si="17"/>
        <v>6.5812936621512108E-4</v>
      </c>
      <c r="K190">
        <f t="shared" si="18"/>
        <v>9.1492176503998765E-6</v>
      </c>
    </row>
    <row r="191" spans="2:11" x14ac:dyDescent="0.2">
      <c r="B191" s="2">
        <v>43221</v>
      </c>
      <c r="C191" s="1">
        <v>76.934347826086906</v>
      </c>
      <c r="E191">
        <f t="shared" si="15"/>
        <v>76.884326337960957</v>
      </c>
      <c r="F191">
        <f t="shared" si="16"/>
        <v>9.9392609164582951E-2</v>
      </c>
      <c r="G191">
        <f t="shared" si="13"/>
        <v>76.983718947125539</v>
      </c>
      <c r="I191">
        <f t="shared" si="14"/>
        <v>2.4375075926112793E-3</v>
      </c>
      <c r="J191">
        <f t="shared" si="17"/>
        <v>4.9371121038632282E-2</v>
      </c>
      <c r="K191">
        <f t="shared" si="18"/>
        <v>6.4173054602656313E-4</v>
      </c>
    </row>
    <row r="192" spans="2:11" x14ac:dyDescent="0.2">
      <c r="B192" s="2">
        <v>43252</v>
      </c>
      <c r="C192" s="1">
        <v>75.802857142857107</v>
      </c>
      <c r="E192">
        <f t="shared" si="15"/>
        <v>75.8146657608998</v>
      </c>
      <c r="F192">
        <f t="shared" si="16"/>
        <v>8.7702077302325543E-2</v>
      </c>
      <c r="G192">
        <f t="shared" si="13"/>
        <v>75.902367838202125</v>
      </c>
      <c r="I192">
        <f t="shared" si="14"/>
        <v>9.902378488048898E-3</v>
      </c>
      <c r="J192">
        <f t="shared" si="17"/>
        <v>9.9510695345017552E-2</v>
      </c>
      <c r="K192">
        <f t="shared" si="18"/>
        <v>1.3127565252254404E-3</v>
      </c>
    </row>
    <row r="193" spans="2:11" x14ac:dyDescent="0.2">
      <c r="B193" s="2">
        <v>43282</v>
      </c>
      <c r="C193" s="1">
        <v>75.2290909090909</v>
      </c>
      <c r="E193">
        <f t="shared" si="15"/>
        <v>75.235823678382005</v>
      </c>
      <c r="F193">
        <f t="shared" si="16"/>
        <v>8.1036635704124324E-2</v>
      </c>
      <c r="G193">
        <f t="shared" si="13"/>
        <v>75.316860314086128</v>
      </c>
      <c r="I193">
        <f t="shared" si="14"/>
        <v>7.7034684532163939E-3</v>
      </c>
      <c r="J193">
        <f t="shared" si="17"/>
        <v>8.7769404995228228E-2</v>
      </c>
      <c r="K193">
        <f t="shared" si="18"/>
        <v>1.1666950103290683E-3</v>
      </c>
    </row>
    <row r="194" spans="2:11" x14ac:dyDescent="0.2">
      <c r="B194" s="2">
        <v>43313</v>
      </c>
      <c r="C194" s="1">
        <v>73.851304347826002</v>
      </c>
      <c r="E194">
        <f t="shared" si="15"/>
        <v>73.865959907488602</v>
      </c>
      <c r="F194">
        <f t="shared" si="16"/>
        <v>6.6527631638149037E-2</v>
      </c>
      <c r="G194">
        <f t="shared" si="13"/>
        <v>73.932487539126754</v>
      </c>
      <c r="I194">
        <f t="shared" si="14"/>
        <v>6.5907105497745528E-3</v>
      </c>
      <c r="J194">
        <f t="shared" si="17"/>
        <v>8.1183191300752355E-2</v>
      </c>
      <c r="K194">
        <f t="shared" si="18"/>
        <v>1.0992790448005429E-3</v>
      </c>
    </row>
    <row r="195" spans="2:11" x14ac:dyDescent="0.2">
      <c r="B195" s="2">
        <v>43344</v>
      </c>
      <c r="C195" s="1">
        <v>79.162999999999997</v>
      </c>
      <c r="E195">
        <f t="shared" si="15"/>
        <v>79.11069487539126</v>
      </c>
      <c r="F195">
        <f t="shared" si="16"/>
        <v>0.11830970500079413</v>
      </c>
      <c r="G195">
        <f t="shared" si="13"/>
        <v>79.229004580392058</v>
      </c>
      <c r="I195">
        <f t="shared" si="14"/>
        <v>4.3566046327320473E-3</v>
      </c>
      <c r="J195">
        <f t="shared" si="17"/>
        <v>6.600458039206103E-2</v>
      </c>
      <c r="K195">
        <f t="shared" si="18"/>
        <v>8.3378068532093314E-4</v>
      </c>
    </row>
    <row r="196" spans="2:11" x14ac:dyDescent="0.2">
      <c r="B196" s="2">
        <v>43374</v>
      </c>
      <c r="C196" s="1">
        <v>80.783478260869501</v>
      </c>
      <c r="E196">
        <f t="shared" si="15"/>
        <v>80.76793352406473</v>
      </c>
      <c r="F196">
        <f t="shared" si="16"/>
        <v>0.1336989944375209</v>
      </c>
      <c r="G196">
        <f t="shared" si="13"/>
        <v>80.901632518502254</v>
      </c>
      <c r="I196">
        <f t="shared" si="14"/>
        <v>1.3960428596746972E-2</v>
      </c>
      <c r="J196">
        <f t="shared" si="17"/>
        <v>0.118154257632753</v>
      </c>
      <c r="K196">
        <f t="shared" si="18"/>
        <v>1.4626042376041815E-3</v>
      </c>
    </row>
    <row r="197" spans="2:11" x14ac:dyDescent="0.2">
      <c r="B197" s="2">
        <v>43405</v>
      </c>
      <c r="C197" s="1">
        <v>66.228636363636298</v>
      </c>
      <c r="E197">
        <f t="shared" si="15"/>
        <v>66.375366325184956</v>
      </c>
      <c r="F197">
        <f t="shared" si="16"/>
        <v>-1.1563667495652047E-2</v>
      </c>
      <c r="G197">
        <f t="shared" si="13"/>
        <v>66.363802657689305</v>
      </c>
      <c r="I197">
        <f t="shared" si="14"/>
        <v>1.8269927048024121E-2</v>
      </c>
      <c r="J197">
        <f t="shared" si="17"/>
        <v>0.13516629405300762</v>
      </c>
      <c r="K197">
        <f t="shared" si="18"/>
        <v>2.0409040782730422E-3</v>
      </c>
    </row>
    <row r="198" spans="2:11" x14ac:dyDescent="0.2">
      <c r="B198" s="2">
        <v>43435</v>
      </c>
      <c r="C198" s="1">
        <v>57.948095238095199</v>
      </c>
      <c r="E198">
        <f t="shared" si="15"/>
        <v>58.032252312291135</v>
      </c>
      <c r="F198">
        <f t="shared" si="16"/>
        <v>-9.4879170949633732E-2</v>
      </c>
      <c r="G198">
        <f t="shared" si="13"/>
        <v>57.937373141341503</v>
      </c>
      <c r="I198">
        <f t="shared" si="14"/>
        <v>1.1496335879561968E-4</v>
      </c>
      <c r="J198">
        <f t="shared" si="17"/>
        <v>1.0722096753696064E-2</v>
      </c>
      <c r="K198">
        <f t="shared" si="18"/>
        <v>1.8502932166521559E-4</v>
      </c>
    </row>
    <row r="199" spans="2:11" x14ac:dyDescent="0.2">
      <c r="B199" s="2">
        <v>43466</v>
      </c>
      <c r="C199" s="1">
        <v>59.944782608695597</v>
      </c>
      <c r="E199">
        <f t="shared" si="15"/>
        <v>59.924708514022058</v>
      </c>
      <c r="F199">
        <f t="shared" si="16"/>
        <v>-7.5005817222828161E-2</v>
      </c>
      <c r="G199">
        <f t="shared" si="13"/>
        <v>59.849702696799227</v>
      </c>
      <c r="I199">
        <f t="shared" si="14"/>
        <v>9.0401896462215022E-3</v>
      </c>
      <c r="J199">
        <f t="shared" si="17"/>
        <v>9.5079911896370106E-2</v>
      </c>
      <c r="K199">
        <f t="shared" si="18"/>
        <v>1.5861248929206694E-3</v>
      </c>
    </row>
    <row r="200" spans="2:11" x14ac:dyDescent="0.2">
      <c r="B200" s="2">
        <v>43497</v>
      </c>
      <c r="C200" s="1">
        <v>64.384</v>
      </c>
      <c r="E200">
        <f t="shared" si="15"/>
        <v>64.338657026967994</v>
      </c>
      <c r="F200">
        <f t="shared" si="16"/>
        <v>-3.0116273921140517E-2</v>
      </c>
      <c r="G200">
        <f t="shared" ref="G200:G263" si="19">E200+F200</f>
        <v>64.308540753046856</v>
      </c>
      <c r="I200">
        <f t="shared" ref="I200:I263" si="20">POWER(C200-G200,2)</f>
        <v>5.6940979507356538E-3</v>
      </c>
      <c r="J200">
        <f t="shared" si="17"/>
        <v>7.5459246953144543E-2</v>
      </c>
      <c r="K200">
        <f t="shared" si="18"/>
        <v>1.1720186219114151E-3</v>
      </c>
    </row>
    <row r="201" spans="2:11" x14ac:dyDescent="0.2">
      <c r="B201" s="2">
        <v>43525</v>
      </c>
      <c r="C201" s="1">
        <v>66.941904761904695</v>
      </c>
      <c r="E201">
        <f t="shared" ref="E201:E264" si="21">$C$2*C201+(1-$C$2)*(E200+F200)</f>
        <v>66.915571121816114</v>
      </c>
      <c r="F201">
        <f t="shared" ref="F201:F264" si="22">$C$3*(E201-E200)+(1-$C$3)*F200</f>
        <v>-4.0459702334479028E-3</v>
      </c>
      <c r="G201">
        <f t="shared" si="19"/>
        <v>66.911525151582666</v>
      </c>
      <c r="I201">
        <f t="shared" si="20"/>
        <v>9.2292072331834883E-4</v>
      </c>
      <c r="J201">
        <f t="shared" ref="J201:J264" si="23">ABS(C201-G201)</f>
        <v>3.0379610322029293E-2</v>
      </c>
      <c r="K201">
        <f t="shared" ref="K201:K264" si="24">J201/C201</f>
        <v>4.5382052437978619E-4</v>
      </c>
    </row>
    <row r="202" spans="2:11" x14ac:dyDescent="0.2">
      <c r="B202" s="2">
        <v>43556</v>
      </c>
      <c r="C202" s="1">
        <v>71.475909090908999</v>
      </c>
      <c r="E202">
        <f t="shared" si="21"/>
        <v>71.430265251515749</v>
      </c>
      <c r="F202">
        <f t="shared" si="22"/>
        <v>4.1141430765882926E-2</v>
      </c>
      <c r="G202">
        <f t="shared" si="19"/>
        <v>71.471406682281625</v>
      </c>
      <c r="I202">
        <f t="shared" si="20"/>
        <v>2.027168344785332E-5</v>
      </c>
      <c r="J202">
        <f t="shared" si="23"/>
        <v>4.5024086273741659E-3</v>
      </c>
      <c r="K202">
        <f t="shared" si="24"/>
        <v>6.2991974283917521E-5</v>
      </c>
    </row>
    <row r="203" spans="2:11" x14ac:dyDescent="0.2">
      <c r="B203" s="2">
        <v>43586</v>
      </c>
      <c r="C203" s="1">
        <v>70.389130434782601</v>
      </c>
      <c r="E203">
        <f t="shared" si="21"/>
        <v>70.399953197257602</v>
      </c>
      <c r="F203">
        <f t="shared" si="22"/>
        <v>3.042689591564263E-2</v>
      </c>
      <c r="G203">
        <f t="shared" si="19"/>
        <v>70.430380093173241</v>
      </c>
      <c r="I203">
        <f t="shared" si="20"/>
        <v>1.7015343173445235E-3</v>
      </c>
      <c r="J203">
        <f t="shared" si="23"/>
        <v>4.124965839064032E-2</v>
      </c>
      <c r="K203">
        <f t="shared" si="24"/>
        <v>5.8602312794386944E-4</v>
      </c>
    </row>
    <row r="204" spans="2:11" x14ac:dyDescent="0.2">
      <c r="B204" s="2">
        <v>43617</v>
      </c>
      <c r="C204" s="1">
        <v>63.208500000000001</v>
      </c>
      <c r="E204">
        <f t="shared" si="21"/>
        <v>63.28071880093173</v>
      </c>
      <c r="F204">
        <f t="shared" si="22"/>
        <v>-4.1069717006772526E-2</v>
      </c>
      <c r="G204">
        <f t="shared" si="19"/>
        <v>63.239649083924959</v>
      </c>
      <c r="I204">
        <f t="shared" si="20"/>
        <v>9.702654293641162E-4</v>
      </c>
      <c r="J204">
        <f t="shared" si="23"/>
        <v>3.1149083924958632E-2</v>
      </c>
      <c r="K204">
        <f t="shared" si="24"/>
        <v>4.9279897363422058E-4</v>
      </c>
    </row>
    <row r="205" spans="2:11" x14ac:dyDescent="0.2">
      <c r="B205" s="2">
        <v>43647</v>
      </c>
      <c r="C205" s="1">
        <v>64.3221739130434</v>
      </c>
      <c r="E205">
        <f t="shared" si="21"/>
        <v>64.311348664752217</v>
      </c>
      <c r="F205">
        <f t="shared" si="22"/>
        <v>-3.0352721198499934E-2</v>
      </c>
      <c r="G205">
        <f t="shared" si="19"/>
        <v>64.280995943553719</v>
      </c>
      <c r="I205">
        <f t="shared" si="20"/>
        <v>1.6956251712930809E-3</v>
      </c>
      <c r="J205">
        <f t="shared" si="23"/>
        <v>4.1177969489680777E-2</v>
      </c>
      <c r="K205">
        <f t="shared" si="24"/>
        <v>6.4018311236415802E-4</v>
      </c>
    </row>
    <row r="206" spans="2:11" x14ac:dyDescent="0.2">
      <c r="B206" s="2">
        <v>43678</v>
      </c>
      <c r="C206" s="1">
        <v>59.618181818181803</v>
      </c>
      <c r="E206">
        <f t="shared" si="21"/>
        <v>59.664809959435523</v>
      </c>
      <c r="F206">
        <f t="shared" si="22"/>
        <v>-7.6514581039681867E-2</v>
      </c>
      <c r="G206">
        <f t="shared" si="19"/>
        <v>59.588295378395841</v>
      </c>
      <c r="I206">
        <f t="shared" si="20"/>
        <v>8.9319928307991607E-4</v>
      </c>
      <c r="J206">
        <f t="shared" si="23"/>
        <v>2.9886439785961727E-2</v>
      </c>
      <c r="K206">
        <f t="shared" si="24"/>
        <v>5.0129740415611325E-4</v>
      </c>
    </row>
    <row r="207" spans="2:11" x14ac:dyDescent="0.2">
      <c r="B207" s="2">
        <v>43709</v>
      </c>
      <c r="C207" s="1">
        <v>62.430952380952299</v>
      </c>
      <c r="E207">
        <f t="shared" si="21"/>
        <v>62.402525810926733</v>
      </c>
      <c r="F207">
        <f t="shared" si="22"/>
        <v>-4.8372276714372955E-2</v>
      </c>
      <c r="G207">
        <f t="shared" si="19"/>
        <v>62.354153534212358</v>
      </c>
      <c r="I207">
        <f t="shared" si="20"/>
        <v>5.8980628605848741E-3</v>
      </c>
      <c r="J207">
        <f t="shared" si="23"/>
        <v>7.6798846739940529E-2</v>
      </c>
      <c r="K207">
        <f t="shared" si="24"/>
        <v>1.2301405602675362E-3</v>
      </c>
    </row>
    <row r="208" spans="2:11" x14ac:dyDescent="0.2">
      <c r="B208" s="2">
        <v>43739</v>
      </c>
      <c r="C208" s="1">
        <v>59.631304347826003</v>
      </c>
      <c r="E208">
        <f t="shared" si="21"/>
        <v>59.658532839689869</v>
      </c>
      <c r="F208">
        <f t="shared" si="22"/>
        <v>-7.5328483659597864E-2</v>
      </c>
      <c r="G208">
        <f t="shared" si="19"/>
        <v>59.583204356030272</v>
      </c>
      <c r="I208">
        <f t="shared" si="20"/>
        <v>2.3136092107493458E-3</v>
      </c>
      <c r="J208">
        <f t="shared" si="23"/>
        <v>4.8099991795730546E-2</v>
      </c>
      <c r="K208">
        <f t="shared" si="24"/>
        <v>8.0662317086284126E-4</v>
      </c>
    </row>
    <row r="209" spans="2:11" x14ac:dyDescent="0.2">
      <c r="B209" s="2">
        <v>43770</v>
      </c>
      <c r="C209" s="1">
        <v>62.686666666666603</v>
      </c>
      <c r="E209">
        <f t="shared" si="21"/>
        <v>62.655632043560239</v>
      </c>
      <c r="F209">
        <f t="shared" si="22"/>
        <v>-4.4604206784298189E-2</v>
      </c>
      <c r="G209">
        <f t="shared" si="19"/>
        <v>62.611027836775939</v>
      </c>
      <c r="I209">
        <f t="shared" si="20"/>
        <v>5.7212325872288486E-3</v>
      </c>
      <c r="J209">
        <f t="shared" si="23"/>
        <v>7.5638829890664283E-2</v>
      </c>
      <c r="K209">
        <f t="shared" si="24"/>
        <v>1.206617513942322E-3</v>
      </c>
    </row>
    <row r="210" spans="2:11" x14ac:dyDescent="0.2">
      <c r="B210" s="2">
        <v>43800</v>
      </c>
      <c r="C210" s="1">
        <v>65.3481818181818</v>
      </c>
      <c r="E210">
        <f t="shared" si="21"/>
        <v>65.320810278367745</v>
      </c>
      <c r="F210">
        <f t="shared" si="22"/>
        <v>-1.7506382368380147E-2</v>
      </c>
      <c r="G210">
        <f t="shared" si="19"/>
        <v>65.303303895999363</v>
      </c>
      <c r="I210">
        <f t="shared" si="20"/>
        <v>2.0140278994128431E-3</v>
      </c>
      <c r="J210">
        <f t="shared" si="23"/>
        <v>4.4877922182436691E-2</v>
      </c>
      <c r="K210">
        <f t="shared" si="24"/>
        <v>6.867508924318737E-4</v>
      </c>
    </row>
    <row r="211" spans="2:11" x14ac:dyDescent="0.2">
      <c r="B211" s="2">
        <v>43831</v>
      </c>
      <c r="C211" s="1">
        <v>63.898695652173899</v>
      </c>
      <c r="E211">
        <f t="shared" si="21"/>
        <v>63.912741734612155</v>
      </c>
      <c r="F211">
        <f t="shared" si="22"/>
        <v>-3.1412003982252246E-2</v>
      </c>
      <c r="G211">
        <f t="shared" si="19"/>
        <v>63.881329730629901</v>
      </c>
      <c r="I211">
        <f t="shared" si="20"/>
        <v>3.0157523107230419E-4</v>
      </c>
      <c r="J211">
        <f t="shared" si="23"/>
        <v>1.7365921543998297E-2</v>
      </c>
      <c r="K211">
        <f t="shared" si="24"/>
        <v>2.7177270782690054E-4</v>
      </c>
    </row>
    <row r="212" spans="2:11" x14ac:dyDescent="0.2">
      <c r="B212" s="2">
        <v>43862</v>
      </c>
      <c r="C212" s="1">
        <v>55.691000000000003</v>
      </c>
      <c r="E212">
        <f t="shared" si="21"/>
        <v>55.7729032973063</v>
      </c>
      <c r="F212">
        <f t="shared" si="22"/>
        <v>-0.11249626831548827</v>
      </c>
      <c r="G212">
        <f t="shared" si="19"/>
        <v>55.660407028990811</v>
      </c>
      <c r="I212">
        <f t="shared" si="20"/>
        <v>9.3592987516924215E-4</v>
      </c>
      <c r="J212">
        <f t="shared" si="23"/>
        <v>3.0592971009191672E-2</v>
      </c>
      <c r="K212">
        <f t="shared" si="24"/>
        <v>5.4933420138247955E-4</v>
      </c>
    </row>
    <row r="213" spans="2:11" x14ac:dyDescent="0.2">
      <c r="B213" s="2">
        <v>43891</v>
      </c>
      <c r="C213" s="1">
        <v>33.947272727272697</v>
      </c>
      <c r="E213">
        <f t="shared" si="21"/>
        <v>34.164404070289876</v>
      </c>
      <c r="F213">
        <f t="shared" si="22"/>
        <v>-0.32745629790249764</v>
      </c>
      <c r="G213">
        <f t="shared" si="19"/>
        <v>33.836947772387376</v>
      </c>
      <c r="I213">
        <f t="shared" si="20"/>
        <v>1.217159567044819E-2</v>
      </c>
      <c r="J213">
        <f t="shared" si="23"/>
        <v>0.11032495488532135</v>
      </c>
      <c r="K213">
        <f t="shared" si="24"/>
        <v>3.2498915530462641E-3</v>
      </c>
    </row>
    <row r="214" spans="2:11" x14ac:dyDescent="0.2">
      <c r="B214" s="2">
        <v>43922</v>
      </c>
      <c r="C214" s="1">
        <v>26.848636363636299</v>
      </c>
      <c r="E214">
        <f t="shared" si="21"/>
        <v>26.918519477723809</v>
      </c>
      <c r="F214">
        <f t="shared" si="22"/>
        <v>-0.39664058084913334</v>
      </c>
      <c r="G214">
        <f t="shared" si="19"/>
        <v>26.521878896874675</v>
      </c>
      <c r="I214">
        <f t="shared" si="20"/>
        <v>0.10677044208447366</v>
      </c>
      <c r="J214">
        <f t="shared" si="23"/>
        <v>0.32675746676162376</v>
      </c>
      <c r="K214">
        <f t="shared" si="24"/>
        <v>1.2170356152768449E-2</v>
      </c>
    </row>
    <row r="215" spans="2:11" x14ac:dyDescent="0.2">
      <c r="B215" s="2">
        <v>43952</v>
      </c>
      <c r="C215" s="1">
        <v>32.422380952380898</v>
      </c>
      <c r="E215">
        <f t="shared" si="21"/>
        <v>32.363375931825836</v>
      </c>
      <c r="F215">
        <f t="shared" si="22"/>
        <v>-0.33822561049962174</v>
      </c>
      <c r="G215">
        <f t="shared" si="19"/>
        <v>32.025150321326215</v>
      </c>
      <c r="I215">
        <f t="shared" si="20"/>
        <v>0.15779217424810146</v>
      </c>
      <c r="J215">
        <f t="shared" si="23"/>
        <v>0.3972306310546827</v>
      </c>
      <c r="K215">
        <f t="shared" si="24"/>
        <v>1.2251741525031725E-2</v>
      </c>
    </row>
    <row r="216" spans="2:11" x14ac:dyDescent="0.2">
      <c r="B216" s="2">
        <v>43983</v>
      </c>
      <c r="C216" s="1">
        <v>40.860454545454502</v>
      </c>
      <c r="E216">
        <f t="shared" si="21"/>
        <v>40.772101503213221</v>
      </c>
      <c r="F216">
        <f t="shared" si="22"/>
        <v>-0.25075609868075166</v>
      </c>
      <c r="G216">
        <f t="shared" si="19"/>
        <v>40.521345404532468</v>
      </c>
      <c r="I216">
        <f t="shared" si="20"/>
        <v>0.11499500945687971</v>
      </c>
      <c r="J216">
        <f t="shared" si="23"/>
        <v>0.3391091409220337</v>
      </c>
      <c r="K216">
        <f t="shared" si="24"/>
        <v>8.2992013841842512E-3</v>
      </c>
    </row>
    <row r="217" spans="2:11" x14ac:dyDescent="0.2">
      <c r="B217" s="2">
        <v>44013</v>
      </c>
      <c r="C217" s="1">
        <v>43.295652173912998</v>
      </c>
      <c r="E217">
        <f t="shared" si="21"/>
        <v>43.267909106219193</v>
      </c>
      <c r="F217">
        <f t="shared" si="22"/>
        <v>-0.22329046166388444</v>
      </c>
      <c r="G217">
        <f t="shared" si="19"/>
        <v>43.044618644555307</v>
      </c>
      <c r="I217">
        <f t="shared" si="20"/>
        <v>6.3017832861778977E-2</v>
      </c>
      <c r="J217">
        <f t="shared" si="23"/>
        <v>0.25103352935769152</v>
      </c>
      <c r="K217">
        <f t="shared" si="24"/>
        <v>5.7981232930577539E-3</v>
      </c>
    </row>
    <row r="218" spans="2:11" x14ac:dyDescent="0.2">
      <c r="B218" s="2">
        <v>44044</v>
      </c>
      <c r="C218" s="1">
        <v>45.081428571428503</v>
      </c>
      <c r="E218">
        <f t="shared" si="21"/>
        <v>45.061060472159767</v>
      </c>
      <c r="F218">
        <f t="shared" si="22"/>
        <v>-0.20312604338783985</v>
      </c>
      <c r="G218">
        <f t="shared" si="19"/>
        <v>44.857934428771927</v>
      </c>
      <c r="I218">
        <f t="shared" si="20"/>
        <v>4.9949631801798323E-2</v>
      </c>
      <c r="J218">
        <f t="shared" si="23"/>
        <v>0.22349414265657686</v>
      </c>
      <c r="K218">
        <f t="shared" si="24"/>
        <v>4.9575656703616956E-3</v>
      </c>
    </row>
    <row r="219" spans="2:11" x14ac:dyDescent="0.2">
      <c r="B219" s="2">
        <v>44075</v>
      </c>
      <c r="C219" s="1">
        <v>41.926818181818099</v>
      </c>
      <c r="E219">
        <f t="shared" si="21"/>
        <v>41.956129344287639</v>
      </c>
      <c r="F219">
        <f t="shared" si="22"/>
        <v>-0.23214409423268273</v>
      </c>
      <c r="G219">
        <f t="shared" si="19"/>
        <v>41.723985250054959</v>
      </c>
      <c r="I219">
        <f t="shared" si="20"/>
        <v>4.1141198207630736E-2</v>
      </c>
      <c r="J219">
        <f t="shared" si="23"/>
        <v>0.20283293176314032</v>
      </c>
      <c r="K219">
        <f t="shared" si="24"/>
        <v>4.8377849920197488E-3</v>
      </c>
    </row>
    <row r="220" spans="2:11" x14ac:dyDescent="0.2">
      <c r="B220" s="2">
        <v>44105</v>
      </c>
      <c r="C220" s="1">
        <v>41.606818181818099</v>
      </c>
      <c r="E220">
        <f t="shared" si="21"/>
        <v>41.607989852500467</v>
      </c>
      <c r="F220">
        <f t="shared" si="22"/>
        <v>-0.23330404820822762</v>
      </c>
      <c r="G220">
        <f t="shared" si="19"/>
        <v>41.374685804292241</v>
      </c>
      <c r="I220">
        <f t="shared" si="20"/>
        <v>5.3885440695807321E-2</v>
      </c>
      <c r="J220">
        <f t="shared" si="23"/>
        <v>0.23213237752585769</v>
      </c>
      <c r="K220">
        <f t="shared" si="24"/>
        <v>5.5791908074167033E-3</v>
      </c>
    </row>
    <row r="221" spans="2:11" x14ac:dyDescent="0.2">
      <c r="B221" s="2">
        <v>44136</v>
      </c>
      <c r="C221" s="1">
        <v>44.05</v>
      </c>
      <c r="E221">
        <f t="shared" si="21"/>
        <v>44.023246858042917</v>
      </c>
      <c r="F221">
        <f t="shared" si="22"/>
        <v>-0.20681843767072083</v>
      </c>
      <c r="G221">
        <f t="shared" si="19"/>
        <v>43.816428420372198</v>
      </c>
      <c r="I221">
        <f t="shared" si="20"/>
        <v>5.4555682809825486E-2</v>
      </c>
      <c r="J221">
        <f t="shared" si="23"/>
        <v>0.23357157962779951</v>
      </c>
      <c r="K221">
        <f t="shared" si="24"/>
        <v>5.3024195148195126E-3</v>
      </c>
    </row>
    <row r="222" spans="2:11" x14ac:dyDescent="0.2">
      <c r="B222" s="2">
        <v>44166</v>
      </c>
      <c r="C222" s="1">
        <v>50.376956521739103</v>
      </c>
      <c r="E222">
        <f t="shared" si="21"/>
        <v>50.311351240725436</v>
      </c>
      <c r="F222">
        <f t="shared" si="22"/>
        <v>-0.14186920946718842</v>
      </c>
      <c r="G222">
        <f t="shared" si="19"/>
        <v>50.169482031258248</v>
      </c>
      <c r="I222">
        <f t="shared" si="20"/>
        <v>4.3045664200290566E-2</v>
      </c>
      <c r="J222">
        <f t="shared" si="23"/>
        <v>0.20747449048085542</v>
      </c>
      <c r="K222">
        <f t="shared" si="24"/>
        <v>4.1184403506258705E-3</v>
      </c>
    </row>
    <row r="223" spans="2:11" x14ac:dyDescent="0.2">
      <c r="B223" s="2">
        <v>44197</v>
      </c>
      <c r="C223" s="1">
        <v>55.224761904761898</v>
      </c>
      <c r="E223">
        <f t="shared" si="21"/>
        <v>55.174209106026865</v>
      </c>
      <c r="F223">
        <f t="shared" si="22"/>
        <v>-9.1821938719502255E-2</v>
      </c>
      <c r="G223">
        <f t="shared" si="19"/>
        <v>55.08238716730736</v>
      </c>
      <c r="I223">
        <f t="shared" si="20"/>
        <v>2.027056586524878E-2</v>
      </c>
      <c r="J223">
        <f t="shared" si="23"/>
        <v>0.14237473745453855</v>
      </c>
      <c r="K223">
        <f t="shared" si="24"/>
        <v>2.5780959943307951E-3</v>
      </c>
    </row>
    <row r="224" spans="2:11" x14ac:dyDescent="0.2">
      <c r="B224" s="2">
        <v>44228</v>
      </c>
      <c r="C224" s="1">
        <v>62.362499999999997</v>
      </c>
      <c r="E224">
        <f t="shared" si="21"/>
        <v>62.289698871673075</v>
      </c>
      <c r="F224">
        <f t="shared" si="22"/>
        <v>-1.974882167584513E-2</v>
      </c>
      <c r="G224">
        <f t="shared" si="19"/>
        <v>62.269950049997227</v>
      </c>
      <c r="I224">
        <f t="shared" si="20"/>
        <v>8.565493245515185E-3</v>
      </c>
      <c r="J224">
        <f t="shared" si="23"/>
        <v>9.2549950002769776E-2</v>
      </c>
      <c r="K224">
        <f t="shared" si="24"/>
        <v>1.4840641411548571E-3</v>
      </c>
    </row>
    <row r="225" spans="2:11" x14ac:dyDescent="0.2">
      <c r="B225" s="2">
        <v>44256</v>
      </c>
      <c r="C225" s="1">
        <v>65.796086956521705</v>
      </c>
      <c r="E225">
        <f t="shared" si="21"/>
        <v>65.760825587456466</v>
      </c>
      <c r="F225">
        <f t="shared" si="22"/>
        <v>1.5159933698747238E-2</v>
      </c>
      <c r="G225">
        <f t="shared" si="19"/>
        <v>65.775985521155206</v>
      </c>
      <c r="I225">
        <f t="shared" si="20"/>
        <v>4.0406770379352783E-4</v>
      </c>
      <c r="J225">
        <f t="shared" si="23"/>
        <v>2.0101435366498777E-2</v>
      </c>
      <c r="K225">
        <f t="shared" si="24"/>
        <v>3.0551110706297595E-4</v>
      </c>
    </row>
    <row r="226" spans="2:11" x14ac:dyDescent="0.2">
      <c r="B226" s="2">
        <v>44287</v>
      </c>
      <c r="C226" s="1">
        <v>65.531818181818096</v>
      </c>
      <c r="E226">
        <f t="shared" si="21"/>
        <v>65.534259855211459</v>
      </c>
      <c r="F226">
        <f t="shared" si="22"/>
        <v>1.2742677039309697E-2</v>
      </c>
      <c r="G226">
        <f t="shared" si="19"/>
        <v>65.547002532250772</v>
      </c>
      <c r="I226">
        <f t="shared" si="20"/>
        <v>2.3056449806231684E-4</v>
      </c>
      <c r="J226">
        <f t="shared" si="23"/>
        <v>1.5184350432676297E-2</v>
      </c>
      <c r="K226">
        <f t="shared" si="24"/>
        <v>2.3170958557181033E-4</v>
      </c>
    </row>
    <row r="227" spans="2:11" x14ac:dyDescent="0.2">
      <c r="B227" s="2">
        <v>44317</v>
      </c>
      <c r="C227" s="1">
        <v>68.375238095238103</v>
      </c>
      <c r="E227">
        <f t="shared" si="21"/>
        <v>68.346955739608234</v>
      </c>
      <c r="F227">
        <f t="shared" si="22"/>
        <v>4.0742209112884342E-2</v>
      </c>
      <c r="G227">
        <f t="shared" si="19"/>
        <v>68.387697948721112</v>
      </c>
      <c r="I227">
        <f t="shared" si="20"/>
        <v>1.5524794881803874E-4</v>
      </c>
      <c r="J227">
        <f t="shared" si="23"/>
        <v>1.2459853483008487E-2</v>
      </c>
      <c r="K227">
        <f t="shared" si="24"/>
        <v>1.8222756995234853E-4</v>
      </c>
    </row>
    <row r="228" spans="2:11" x14ac:dyDescent="0.2">
      <c r="B228" s="2">
        <v>44348</v>
      </c>
      <c r="C228" s="1">
        <v>73.512727272727204</v>
      </c>
      <c r="E228">
        <f t="shared" si="21"/>
        <v>73.461476979487145</v>
      </c>
      <c r="F228">
        <f t="shared" si="22"/>
        <v>9.1479999420544605E-2</v>
      </c>
      <c r="G228">
        <f t="shared" si="19"/>
        <v>73.552956978907687</v>
      </c>
      <c r="I228">
        <f t="shared" si="20"/>
        <v>1.6184292593679961E-3</v>
      </c>
      <c r="J228">
        <f t="shared" si="23"/>
        <v>4.0229706180483049E-2</v>
      </c>
      <c r="K228">
        <f t="shared" si="24"/>
        <v>5.4724817964151408E-4</v>
      </c>
    </row>
    <row r="229" spans="2:11" x14ac:dyDescent="0.2">
      <c r="B229" s="2">
        <v>44378</v>
      </c>
      <c r="C229" s="1">
        <v>74.403181818181807</v>
      </c>
      <c r="E229">
        <f t="shared" si="21"/>
        <v>74.394679569789062</v>
      </c>
      <c r="F229">
        <f t="shared" si="22"/>
        <v>9.9897225329358325E-2</v>
      </c>
      <c r="G229">
        <f t="shared" si="19"/>
        <v>74.494576795118419</v>
      </c>
      <c r="I229">
        <f t="shared" si="20"/>
        <v>8.3530418092439655E-3</v>
      </c>
      <c r="J229">
        <f t="shared" si="23"/>
        <v>9.1394976936612693E-2</v>
      </c>
      <c r="K229">
        <f t="shared" si="24"/>
        <v>1.2283745762372575E-3</v>
      </c>
    </row>
    <row r="230" spans="2:11" x14ac:dyDescent="0.2">
      <c r="B230" s="2">
        <v>44409</v>
      </c>
      <c r="C230" s="1">
        <v>70.588181818181795</v>
      </c>
      <c r="E230">
        <f t="shared" si="21"/>
        <v>70.627245767951152</v>
      </c>
      <c r="F230">
        <f t="shared" si="22"/>
        <v>6.1223915057685638E-2</v>
      </c>
      <c r="G230">
        <f t="shared" si="19"/>
        <v>70.688469683008833</v>
      </c>
      <c r="I230">
        <f t="shared" si="20"/>
        <v>1.005765583156629E-2</v>
      </c>
      <c r="J230">
        <f t="shared" si="23"/>
        <v>0.10028786482703822</v>
      </c>
      <c r="K230">
        <f t="shared" si="24"/>
        <v>1.4207458280389722E-3</v>
      </c>
    </row>
    <row r="231" spans="2:11" x14ac:dyDescent="0.2">
      <c r="B231" s="2">
        <v>44440</v>
      </c>
      <c r="C231" s="1">
        <v>74.749545454545398</v>
      </c>
      <c r="E231">
        <f t="shared" si="21"/>
        <v>74.708934696830028</v>
      </c>
      <c r="F231">
        <f t="shared" si="22"/>
        <v>0.10142856519589755</v>
      </c>
      <c r="G231">
        <f t="shared" si="19"/>
        <v>74.81036326202593</v>
      </c>
      <c r="I231">
        <f t="shared" si="20"/>
        <v>3.6988057067390951E-3</v>
      </c>
      <c r="J231">
        <f t="shared" si="23"/>
        <v>6.0817807480532338E-2</v>
      </c>
      <c r="K231">
        <f t="shared" si="24"/>
        <v>8.1362110111445638E-4</v>
      </c>
    </row>
    <row r="232" spans="2:11" x14ac:dyDescent="0.2">
      <c r="B232" s="2">
        <v>44470</v>
      </c>
      <c r="C232" s="1">
        <v>83.865238095238098</v>
      </c>
      <c r="E232">
        <f t="shared" si="21"/>
        <v>83.774689346905973</v>
      </c>
      <c r="F232">
        <f t="shared" si="22"/>
        <v>0.19107182604469802</v>
      </c>
      <c r="G232">
        <f t="shared" si="19"/>
        <v>83.965761172950664</v>
      </c>
      <c r="I232">
        <f t="shared" si="20"/>
        <v>1.01048891528066E-2</v>
      </c>
      <c r="J232">
        <f t="shared" si="23"/>
        <v>0.10052307771256608</v>
      </c>
      <c r="K232">
        <f t="shared" si="24"/>
        <v>1.1986262722871088E-3</v>
      </c>
    </row>
    <row r="233" spans="2:11" x14ac:dyDescent="0.2">
      <c r="B233" s="2">
        <v>44501</v>
      </c>
      <c r="C233" s="1">
        <v>80.890454545454503</v>
      </c>
      <c r="E233">
        <f t="shared" si="21"/>
        <v>80.921207611729457</v>
      </c>
      <c r="F233">
        <f t="shared" si="22"/>
        <v>0.16062629043248589</v>
      </c>
      <c r="G233">
        <f t="shared" si="19"/>
        <v>81.081833902161947</v>
      </c>
      <c r="I233">
        <f t="shared" si="20"/>
        <v>3.6626058173754916E-2</v>
      </c>
      <c r="J233">
        <f t="shared" si="23"/>
        <v>0.19137935670744355</v>
      </c>
      <c r="K233">
        <f t="shared" si="24"/>
        <v>2.3659077919991459E-3</v>
      </c>
    </row>
    <row r="234" spans="2:11" x14ac:dyDescent="0.2">
      <c r="B234" s="2">
        <v>44531</v>
      </c>
      <c r="C234" s="1">
        <v>74.678260869565193</v>
      </c>
      <c r="E234">
        <f t="shared" si="21"/>
        <v>74.742296599891162</v>
      </c>
      <c r="F234">
        <f t="shared" si="22"/>
        <v>9.7230917409778073E-2</v>
      </c>
      <c r="G234">
        <f t="shared" si="19"/>
        <v>74.839527517300937</v>
      </c>
      <c r="I234">
        <f t="shared" si="20"/>
        <v>2.6006931671924423E-2</v>
      </c>
      <c r="J234">
        <f t="shared" si="23"/>
        <v>0.16126664773574362</v>
      </c>
      <c r="K234">
        <f t="shared" si="24"/>
        <v>2.1594858511423524E-3</v>
      </c>
    </row>
    <row r="235" spans="2:11" x14ac:dyDescent="0.2">
      <c r="B235" s="2">
        <v>44562</v>
      </c>
      <c r="C235" s="1">
        <v>85.622380952380894</v>
      </c>
      <c r="E235">
        <f t="shared" si="21"/>
        <v>85.514552418030092</v>
      </c>
      <c r="F235">
        <f t="shared" si="22"/>
        <v>0.20398116641706959</v>
      </c>
      <c r="G235">
        <f t="shared" si="19"/>
        <v>85.718533584447158</v>
      </c>
      <c r="I235">
        <f t="shared" si="20"/>
        <v>9.2453286532703845E-3</v>
      </c>
      <c r="J235">
        <f t="shared" si="23"/>
        <v>9.6152632066264232E-2</v>
      </c>
      <c r="K235">
        <f t="shared" si="24"/>
        <v>1.1229847966939832E-3</v>
      </c>
    </row>
    <row r="236" spans="2:11" x14ac:dyDescent="0.2">
      <c r="B236" s="2">
        <v>44593</v>
      </c>
      <c r="C236" s="1">
        <v>94.266999999999996</v>
      </c>
      <c r="E236">
        <f t="shared" si="21"/>
        <v>94.181515335844466</v>
      </c>
      <c r="F236">
        <f t="shared" si="22"/>
        <v>0.28861098393104262</v>
      </c>
      <c r="G236">
        <f t="shared" si="19"/>
        <v>94.470126319775503</v>
      </c>
      <c r="I236">
        <f t="shared" si="20"/>
        <v>4.1260301785541388E-2</v>
      </c>
      <c r="J236">
        <f t="shared" si="23"/>
        <v>0.20312631977550666</v>
      </c>
      <c r="K236">
        <f t="shared" si="24"/>
        <v>2.1547977529305768E-3</v>
      </c>
    </row>
    <row r="237" spans="2:11" x14ac:dyDescent="0.2">
      <c r="B237" s="2">
        <v>44621</v>
      </c>
      <c r="C237" s="1">
        <v>112.44</v>
      </c>
      <c r="E237">
        <f t="shared" si="21"/>
        <v>112.26030126319776</v>
      </c>
      <c r="F237">
        <f t="shared" si="22"/>
        <v>0.46651273336526511</v>
      </c>
      <c r="G237">
        <f t="shared" si="19"/>
        <v>112.72681399656302</v>
      </c>
      <c r="I237">
        <f t="shared" si="20"/>
        <v>8.2262268624455667E-2</v>
      </c>
      <c r="J237">
        <f t="shared" si="23"/>
        <v>0.28681399656302631</v>
      </c>
      <c r="K237">
        <f t="shared" si="24"/>
        <v>2.5508181835914826E-3</v>
      </c>
    </row>
    <row r="238" spans="2:11" x14ac:dyDescent="0.2">
      <c r="B238" s="2">
        <v>44652</v>
      </c>
      <c r="C238" s="1">
        <v>106.155714285714</v>
      </c>
      <c r="E238">
        <f t="shared" si="21"/>
        <v>106.22142528282249</v>
      </c>
      <c r="F238">
        <f t="shared" si="22"/>
        <v>0.40145884622785977</v>
      </c>
      <c r="G238">
        <f t="shared" si="19"/>
        <v>106.62288412905035</v>
      </c>
      <c r="I238">
        <f t="shared" si="20"/>
        <v>0.21824766252291003</v>
      </c>
      <c r="J238">
        <f t="shared" si="23"/>
        <v>0.46716984333635025</v>
      </c>
      <c r="K238">
        <f t="shared" si="24"/>
        <v>4.4007978890234839E-3</v>
      </c>
    </row>
    <row r="239" spans="2:11" x14ac:dyDescent="0.2">
      <c r="B239" s="2">
        <v>44682</v>
      </c>
      <c r="C239" s="1">
        <v>112.113636363636</v>
      </c>
      <c r="E239">
        <f t="shared" si="21"/>
        <v>112.05872884129015</v>
      </c>
      <c r="F239">
        <f t="shared" si="22"/>
        <v>0.45581729335025772</v>
      </c>
      <c r="G239">
        <f t="shared" si="19"/>
        <v>112.51454613464041</v>
      </c>
      <c r="I239">
        <f t="shared" si="20"/>
        <v>0.16072864448680638</v>
      </c>
      <c r="J239">
        <f t="shared" si="23"/>
        <v>0.40090977100440739</v>
      </c>
      <c r="K239">
        <f t="shared" si="24"/>
        <v>3.5759233578337686E-3</v>
      </c>
    </row>
    <row r="240" spans="2:11" x14ac:dyDescent="0.2">
      <c r="B240" s="2">
        <v>44713</v>
      </c>
      <c r="C240" s="1">
        <v>117.692727272727</v>
      </c>
      <c r="E240">
        <f t="shared" si="21"/>
        <v>117.64094546134613</v>
      </c>
      <c r="F240">
        <f t="shared" si="22"/>
        <v>0.507081286617315</v>
      </c>
      <c r="G240">
        <f t="shared" si="19"/>
        <v>118.14802674796346</v>
      </c>
      <c r="I240">
        <f t="shared" si="20"/>
        <v>0.20729761215059431</v>
      </c>
      <c r="J240">
        <f t="shared" si="23"/>
        <v>0.45529947523645831</v>
      </c>
      <c r="K240">
        <f t="shared" si="24"/>
        <v>3.8685438411279393E-3</v>
      </c>
    </row>
    <row r="241" spans="2:11" x14ac:dyDescent="0.2">
      <c r="B241" s="2">
        <v>44743</v>
      </c>
      <c r="C241" s="1">
        <v>105.252857142857</v>
      </c>
      <c r="E241">
        <f t="shared" si="21"/>
        <v>105.38180883890807</v>
      </c>
      <c r="F241">
        <f t="shared" si="22"/>
        <v>0.37941910752676122</v>
      </c>
      <c r="G241">
        <f t="shared" si="19"/>
        <v>105.76122794643483</v>
      </c>
      <c r="I241">
        <f t="shared" si="20"/>
        <v>0.25844087393037157</v>
      </c>
      <c r="J241">
        <f t="shared" si="23"/>
        <v>0.50837080357783293</v>
      </c>
      <c r="K241">
        <f t="shared" si="24"/>
        <v>4.8299952835278792E-3</v>
      </c>
    </row>
    <row r="242" spans="2:11" x14ac:dyDescent="0.2">
      <c r="B242" s="2">
        <v>44774</v>
      </c>
      <c r="C242" s="1">
        <v>97.643043478260793</v>
      </c>
      <c r="E242">
        <f t="shared" si="21"/>
        <v>97.72422532294253</v>
      </c>
      <c r="F242">
        <f t="shared" si="22"/>
        <v>0.29904908129183816</v>
      </c>
      <c r="G242">
        <f t="shared" si="19"/>
        <v>98.023274404234371</v>
      </c>
      <c r="I242">
        <f t="shared" si="20"/>
        <v>0.14457555706672445</v>
      </c>
      <c r="J242">
        <f t="shared" si="23"/>
        <v>0.38023092597357788</v>
      </c>
      <c r="K242">
        <f t="shared" si="24"/>
        <v>3.8940912985596598E-3</v>
      </c>
    </row>
    <row r="243" spans="2:11" x14ac:dyDescent="0.2">
      <c r="B243" s="2">
        <v>44805</v>
      </c>
      <c r="C243" s="1">
        <v>90.608181818181805</v>
      </c>
      <c r="E243">
        <f t="shared" si="21"/>
        <v>90.682332744042327</v>
      </c>
      <c r="F243">
        <f t="shared" si="22"/>
        <v>0.2256396646899177</v>
      </c>
      <c r="G243">
        <f t="shared" si="19"/>
        <v>90.907972408732249</v>
      </c>
      <c r="I243">
        <f t="shared" si="20"/>
        <v>8.9874398182583887E-2</v>
      </c>
      <c r="J243">
        <f t="shared" si="23"/>
        <v>0.29979059055044388</v>
      </c>
      <c r="K243">
        <f t="shared" si="24"/>
        <v>3.3086481213365072E-3</v>
      </c>
    </row>
    <row r="244" spans="2:11" x14ac:dyDescent="0.2">
      <c r="B244" s="2">
        <v>44835</v>
      </c>
      <c r="C244" s="1">
        <v>93.718571428571394</v>
      </c>
      <c r="E244">
        <f t="shared" si="21"/>
        <v>93.690465438372996</v>
      </c>
      <c r="F244">
        <f t="shared" si="22"/>
        <v>0.25346459498632523</v>
      </c>
      <c r="G244">
        <f t="shared" si="19"/>
        <v>93.943930033359322</v>
      </c>
      <c r="I244">
        <f t="shared" si="20"/>
        <v>5.0786500751961582E-2</v>
      </c>
      <c r="J244">
        <f t="shared" si="23"/>
        <v>0.22535860478792813</v>
      </c>
      <c r="K244">
        <f t="shared" si="24"/>
        <v>2.4046312417351301E-3</v>
      </c>
    </row>
    <row r="245" spans="2:11" x14ac:dyDescent="0.2">
      <c r="B245" s="2">
        <v>44866</v>
      </c>
      <c r="C245" s="1">
        <v>90.938636363636306</v>
      </c>
      <c r="E245">
        <f t="shared" si="21"/>
        <v>90.968689300333537</v>
      </c>
      <c r="F245">
        <f t="shared" si="22"/>
        <v>0.2237121876560674</v>
      </c>
      <c r="G245">
        <f t="shared" si="19"/>
        <v>91.192401487989599</v>
      </c>
      <c r="I245">
        <f t="shared" si="20"/>
        <v>6.4396738338042492E-2</v>
      </c>
      <c r="J245">
        <f t="shared" si="23"/>
        <v>0.25376512435329346</v>
      </c>
      <c r="K245">
        <f t="shared" si="24"/>
        <v>2.7905094523142278E-3</v>
      </c>
    </row>
    <row r="246" spans="2:11" x14ac:dyDescent="0.2">
      <c r="B246" s="2">
        <v>44896</v>
      </c>
      <c r="C246" s="1">
        <v>81.503181818181801</v>
      </c>
      <c r="E246">
        <f t="shared" si="21"/>
        <v>81.60007401487988</v>
      </c>
      <c r="F246">
        <f t="shared" si="22"/>
        <v>0.12778891292497016</v>
      </c>
      <c r="G246">
        <f t="shared" si="19"/>
        <v>81.72786292780485</v>
      </c>
      <c r="I246">
        <f t="shared" si="20"/>
        <v>5.0481601021444458E-2</v>
      </c>
      <c r="J246">
        <f t="shared" si="23"/>
        <v>0.22468110962304877</v>
      </c>
      <c r="K246">
        <f t="shared" si="24"/>
        <v>2.7567158068045722E-3</v>
      </c>
    </row>
    <row r="247" spans="2:11" x14ac:dyDescent="0.2">
      <c r="B247" s="2">
        <v>44927</v>
      </c>
      <c r="C247" s="1">
        <v>84.081818181818093</v>
      </c>
      <c r="E247">
        <f t="shared" si="21"/>
        <v>84.058278629277964</v>
      </c>
      <c r="F247">
        <f t="shared" si="22"/>
        <v>0.15109306993970131</v>
      </c>
      <c r="G247">
        <f t="shared" si="19"/>
        <v>84.20937169921767</v>
      </c>
      <c r="I247">
        <f t="shared" si="20"/>
        <v>1.6269899801004021E-2</v>
      </c>
      <c r="J247">
        <f t="shared" si="23"/>
        <v>0.12755351739957632</v>
      </c>
      <c r="K247">
        <f t="shared" si="24"/>
        <v>1.5170166411453574E-3</v>
      </c>
    </row>
    <row r="248" spans="2:11" x14ac:dyDescent="0.2">
      <c r="B248" s="2">
        <v>44958</v>
      </c>
      <c r="C248" s="1">
        <v>83.632499999999894</v>
      </c>
      <c r="E248">
        <f t="shared" si="21"/>
        <v>83.638268716992073</v>
      </c>
      <c r="F248">
        <f t="shared" si="22"/>
        <v>0.1453820401174454</v>
      </c>
      <c r="G248">
        <f t="shared" si="19"/>
        <v>83.783650757109513</v>
      </c>
      <c r="I248">
        <f t="shared" si="20"/>
        <v>2.2846551374811008E-2</v>
      </c>
      <c r="J248">
        <f t="shared" si="23"/>
        <v>0.15115075710961889</v>
      </c>
      <c r="K248">
        <f t="shared" si="24"/>
        <v>1.807320803630396E-3</v>
      </c>
    </row>
    <row r="249" spans="2:11" x14ac:dyDescent="0.2">
      <c r="B249" s="2">
        <v>44986</v>
      </c>
      <c r="C249" s="1">
        <v>79.256521739130406</v>
      </c>
      <c r="E249">
        <f t="shared" si="21"/>
        <v>79.301793029310204</v>
      </c>
      <c r="F249">
        <f t="shared" si="22"/>
        <v>0.10056346283945226</v>
      </c>
      <c r="G249">
        <f t="shared" si="19"/>
        <v>79.40235649214965</v>
      </c>
      <c r="I249">
        <f t="shared" si="20"/>
        <v>2.1267775188183922E-2</v>
      </c>
      <c r="J249">
        <f t="shared" si="23"/>
        <v>0.14583475301924409</v>
      </c>
      <c r="K249">
        <f t="shared" si="24"/>
        <v>1.840034735554674E-3</v>
      </c>
    </row>
    <row r="250" spans="2:11" x14ac:dyDescent="0.2">
      <c r="B250" s="2">
        <v>45017</v>
      </c>
      <c r="C250" s="1">
        <v>83.536000000000001</v>
      </c>
      <c r="E250">
        <f t="shared" si="21"/>
        <v>83.49466356492151</v>
      </c>
      <c r="F250">
        <f t="shared" si="22"/>
        <v>0.14148653356717081</v>
      </c>
      <c r="G250">
        <f t="shared" si="19"/>
        <v>83.636150098488685</v>
      </c>
      <c r="I250">
        <f t="shared" si="20"/>
        <v>1.0030042227292939E-2</v>
      </c>
      <c r="J250">
        <f t="shared" si="23"/>
        <v>0.10015009848868317</v>
      </c>
      <c r="K250">
        <f t="shared" si="24"/>
        <v>1.1988854923468107E-3</v>
      </c>
    </row>
    <row r="251" spans="2:11" x14ac:dyDescent="0.2">
      <c r="B251" s="2">
        <v>45047</v>
      </c>
      <c r="C251" s="1">
        <v>75.747391304347801</v>
      </c>
      <c r="E251">
        <f t="shared" si="21"/>
        <v>75.82627889228921</v>
      </c>
      <c r="F251">
        <f t="shared" si="22"/>
        <v>6.3387821505176106E-2</v>
      </c>
      <c r="G251">
        <f t="shared" si="19"/>
        <v>75.889666713794384</v>
      </c>
      <c r="I251">
        <f t="shared" si="20"/>
        <v>2.0242292133192844E-2</v>
      </c>
      <c r="J251">
        <f t="shared" si="23"/>
        <v>0.14227540944658301</v>
      </c>
      <c r="K251">
        <f t="shared" si="24"/>
        <v>1.8782879119220123E-3</v>
      </c>
    </row>
    <row r="252" spans="2:11" x14ac:dyDescent="0.2">
      <c r="B252" s="2">
        <v>45078</v>
      </c>
      <c r="C252" s="1">
        <v>74.974999999999895</v>
      </c>
      <c r="E252">
        <f t="shared" si="21"/>
        <v>74.984146667137836</v>
      </c>
      <c r="F252">
        <f t="shared" si="22"/>
        <v>5.4332621038610605E-2</v>
      </c>
      <c r="G252">
        <f t="shared" si="19"/>
        <v>75.038479288176447</v>
      </c>
      <c r="I252">
        <f t="shared" si="20"/>
        <v>4.0296200274017365E-3</v>
      </c>
      <c r="J252">
        <f t="shared" si="23"/>
        <v>6.3479288176552018E-2</v>
      </c>
      <c r="K252">
        <f t="shared" si="24"/>
        <v>8.4667273326511651E-4</v>
      </c>
    </row>
    <row r="253" spans="2:11" x14ac:dyDescent="0.2">
      <c r="B253" s="2">
        <v>45108</v>
      </c>
      <c r="C253" s="1">
        <v>80.109047619047601</v>
      </c>
      <c r="E253">
        <f t="shared" si="21"/>
        <v>80.058341935738881</v>
      </c>
      <c r="F253">
        <f t="shared" si="22"/>
        <v>0.10453124751423495</v>
      </c>
      <c r="G253">
        <f t="shared" si="19"/>
        <v>80.162873183253112</v>
      </c>
      <c r="I253">
        <f t="shared" si="20"/>
        <v>2.8971913620415382E-3</v>
      </c>
      <c r="J253">
        <f t="shared" si="23"/>
        <v>5.3825564205510545E-2</v>
      </c>
      <c r="K253">
        <f t="shared" si="24"/>
        <v>6.7190368385695789E-4</v>
      </c>
    </row>
    <row r="254" spans="2:11" x14ac:dyDescent="0.2">
      <c r="B254" s="2">
        <v>45139</v>
      </c>
      <c r="C254" s="1">
        <v>85.168260869565202</v>
      </c>
      <c r="E254">
        <f t="shared" si="21"/>
        <v>85.118206992702085</v>
      </c>
      <c r="F254">
        <f t="shared" si="22"/>
        <v>0.15408458560872465</v>
      </c>
      <c r="G254">
        <f t="shared" si="19"/>
        <v>85.272291578310814</v>
      </c>
      <c r="I254">
        <f t="shared" si="20"/>
        <v>1.0822388362114223E-2</v>
      </c>
      <c r="J254">
        <f t="shared" si="23"/>
        <v>0.10403070874561138</v>
      </c>
      <c r="K254">
        <f t="shared" si="24"/>
        <v>1.2214727374195644E-3</v>
      </c>
    </row>
    <row r="255" spans="2:11" x14ac:dyDescent="0.2">
      <c r="B255" s="2">
        <v>45170</v>
      </c>
      <c r="C255" s="1">
        <v>92.673333333333304</v>
      </c>
      <c r="E255">
        <f t="shared" si="21"/>
        <v>92.599322915783077</v>
      </c>
      <c r="F255">
        <f t="shared" si="22"/>
        <v>0.22735489898344735</v>
      </c>
      <c r="G255">
        <f t="shared" si="19"/>
        <v>92.826677814766526</v>
      </c>
      <c r="I255">
        <f t="shared" si="20"/>
        <v>2.3514529986024001E-2</v>
      </c>
      <c r="J255">
        <f t="shared" si="23"/>
        <v>0.15334448143322277</v>
      </c>
      <c r="K255">
        <f t="shared" si="24"/>
        <v>1.6546775206807728E-3</v>
      </c>
    </row>
    <row r="256" spans="2:11" x14ac:dyDescent="0.2">
      <c r="B256" s="2">
        <v>45200</v>
      </c>
      <c r="C256" s="1">
        <v>88.947727272727207</v>
      </c>
      <c r="E256">
        <f t="shared" si="21"/>
        <v>88.986516778147603</v>
      </c>
      <c r="F256">
        <f t="shared" si="22"/>
        <v>0.18895328861725813</v>
      </c>
      <c r="G256">
        <f t="shared" si="19"/>
        <v>89.175470066764859</v>
      </c>
      <c r="I256">
        <f t="shared" si="20"/>
        <v>5.1866780236076666E-2</v>
      </c>
      <c r="J256">
        <f t="shared" si="23"/>
        <v>0.22774279403765263</v>
      </c>
      <c r="K256">
        <f t="shared" si="24"/>
        <v>2.560411615007978E-3</v>
      </c>
    </row>
    <row r="257" spans="2:11" x14ac:dyDescent="0.2">
      <c r="B257" s="2">
        <v>45231</v>
      </c>
      <c r="C257" s="1">
        <v>82.186363636363595</v>
      </c>
      <c r="E257">
        <f t="shared" si="21"/>
        <v>82.256254700667611</v>
      </c>
      <c r="F257">
        <f t="shared" si="22"/>
        <v>0.11976113495628563</v>
      </c>
      <c r="G257">
        <f t="shared" si="19"/>
        <v>82.376015835623903</v>
      </c>
      <c r="I257">
        <f t="shared" si="20"/>
        <v>3.5967956684271725E-2</v>
      </c>
      <c r="J257">
        <f t="shared" si="23"/>
        <v>0.18965219926030841</v>
      </c>
      <c r="K257">
        <f t="shared" si="24"/>
        <v>2.3075871819737775E-3</v>
      </c>
    </row>
    <row r="258" spans="2:11" x14ac:dyDescent="0.2">
      <c r="B258" s="2">
        <v>45261</v>
      </c>
      <c r="C258" s="1">
        <v>77.540952380952305</v>
      </c>
      <c r="E258">
        <f t="shared" si="21"/>
        <v>77.589303015499013</v>
      </c>
      <c r="F258">
        <f t="shared" si="22"/>
        <v>7.1894006755036793E-2</v>
      </c>
      <c r="G258">
        <f t="shared" si="19"/>
        <v>77.661197022254044</v>
      </c>
      <c r="I258">
        <f t="shared" si="20"/>
        <v>1.4458773761783731E-2</v>
      </c>
      <c r="J258">
        <f t="shared" si="23"/>
        <v>0.1202446413017384</v>
      </c>
      <c r="K258">
        <f t="shared" si="24"/>
        <v>1.5507243283650475E-3</v>
      </c>
    </row>
    <row r="259" spans="2:11" x14ac:dyDescent="0.2">
      <c r="B259" s="2">
        <v>45292</v>
      </c>
      <c r="C259" s="1">
        <v>79.11</v>
      </c>
      <c r="E259">
        <f t="shared" si="21"/>
        <v>79.095511970222546</v>
      </c>
      <c r="F259">
        <f t="shared" si="22"/>
        <v>8.6237156234721751E-2</v>
      </c>
      <c r="G259">
        <f t="shared" si="19"/>
        <v>79.181749126457262</v>
      </c>
      <c r="I259">
        <f t="shared" si="20"/>
        <v>5.1479371473803093E-3</v>
      </c>
      <c r="J259">
        <f t="shared" si="23"/>
        <v>7.1749126457262946E-2</v>
      </c>
      <c r="K259">
        <f t="shared" si="24"/>
        <v>9.0695394333539304E-4</v>
      </c>
    </row>
    <row r="260" spans="2:11" x14ac:dyDescent="0.2">
      <c r="B260" s="2">
        <v>45323</v>
      </c>
      <c r="C260" s="1">
        <v>81.795714285714297</v>
      </c>
      <c r="E260">
        <f t="shared" si="21"/>
        <v>81.769574634121724</v>
      </c>
      <c r="F260">
        <f t="shared" si="22"/>
        <v>0.11211541131136632</v>
      </c>
      <c r="G260">
        <f t="shared" si="19"/>
        <v>81.881690045433089</v>
      </c>
      <c r="I260">
        <f t="shared" si="20"/>
        <v>7.3918312592234975E-3</v>
      </c>
      <c r="J260">
        <f t="shared" si="23"/>
        <v>8.5975759718792233E-2</v>
      </c>
      <c r="K260">
        <f t="shared" si="24"/>
        <v>1.0511034773591798E-3</v>
      </c>
    </row>
    <row r="261" spans="2:11" x14ac:dyDescent="0.2">
      <c r="B261" s="2">
        <v>45352</v>
      </c>
      <c r="C261" s="1">
        <v>84.961428571428499</v>
      </c>
      <c r="E261">
        <f t="shared" si="21"/>
        <v>84.930631186168554</v>
      </c>
      <c r="F261">
        <f t="shared" si="22"/>
        <v>0.14260482271872094</v>
      </c>
      <c r="G261">
        <f t="shared" si="19"/>
        <v>85.073236008887278</v>
      </c>
      <c r="I261">
        <f t="shared" si="20"/>
        <v>1.250090307109882E-2</v>
      </c>
      <c r="J261">
        <f t="shared" si="23"/>
        <v>0.11180743745877919</v>
      </c>
      <c r="K261">
        <f t="shared" si="24"/>
        <v>1.3159787840052713E-3</v>
      </c>
    </row>
    <row r="262" spans="2:11" x14ac:dyDescent="0.2">
      <c r="B262" s="2">
        <v>45383</v>
      </c>
      <c r="C262" s="1">
        <v>88.974545454545407</v>
      </c>
      <c r="E262">
        <f t="shared" si="21"/>
        <v>88.935532360088828</v>
      </c>
      <c r="F262">
        <f t="shared" si="22"/>
        <v>0.18122778623073649</v>
      </c>
      <c r="G262">
        <f t="shared" si="19"/>
        <v>89.116760146319564</v>
      </c>
      <c r="I262">
        <f t="shared" si="20"/>
        <v>2.0225018556418516E-2</v>
      </c>
      <c r="J262">
        <f t="shared" si="23"/>
        <v>0.14221469177415713</v>
      </c>
      <c r="K262">
        <f t="shared" si="24"/>
        <v>1.5983750301574804E-3</v>
      </c>
    </row>
    <row r="263" spans="2:11" x14ac:dyDescent="0.2">
      <c r="B263" s="2">
        <v>45413</v>
      </c>
      <c r="C263" s="1">
        <v>83.053913043478204</v>
      </c>
      <c r="E263">
        <f t="shared" si="21"/>
        <v>83.114541514506612</v>
      </c>
      <c r="F263">
        <f t="shared" si="22"/>
        <v>0.12120559991260696</v>
      </c>
      <c r="G263">
        <f t="shared" si="19"/>
        <v>83.235747114419226</v>
      </c>
      <c r="I263">
        <f t="shared" si="20"/>
        <v>3.3063629354984699E-2</v>
      </c>
      <c r="J263">
        <f t="shared" si="23"/>
        <v>0.18183407094102222</v>
      </c>
      <c r="K263">
        <f t="shared" si="24"/>
        <v>2.1893498364831195E-3</v>
      </c>
    </row>
    <row r="264" spans="2:11" x14ac:dyDescent="0.2">
      <c r="B264" s="2">
        <v>45444</v>
      </c>
      <c r="C264" s="1">
        <v>82.917500000000004</v>
      </c>
      <c r="E264">
        <f t="shared" si="21"/>
        <v>82.92068247114419</v>
      </c>
      <c r="F264">
        <f t="shared" si="22"/>
        <v>0.11805495347985666</v>
      </c>
      <c r="G264">
        <f t="shared" ref="G264:G282" si="25">E264+F264</f>
        <v>83.038737424624046</v>
      </c>
      <c r="I264">
        <f t="shared" ref="I264:I283" si="26">POWER(C264-G264,2)</f>
        <v>1.469851312947015E-2</v>
      </c>
      <c r="J264">
        <f t="shared" si="23"/>
        <v>0.12123742462404152</v>
      </c>
      <c r="K264">
        <f t="shared" si="24"/>
        <v>1.4621452000366812E-3</v>
      </c>
    </row>
    <row r="265" spans="2:11" x14ac:dyDescent="0.2">
      <c r="B265" s="2">
        <v>45474</v>
      </c>
      <c r="C265" s="1">
        <v>84.048695652173905</v>
      </c>
      <c r="E265">
        <f t="shared" ref="E265:E283" si="27">$C$2*C265+(1-$C$2)*(E264+F264)</f>
        <v>84.038596069898404</v>
      </c>
      <c r="F265">
        <f t="shared" ref="F265:F283" si="28">$C$3*(E265-E264)+(1-$C$3)*F264</f>
        <v>0.12805353993260024</v>
      </c>
      <c r="G265">
        <f t="shared" si="25"/>
        <v>84.166649609830998</v>
      </c>
      <c r="I265">
        <f t="shared" si="26"/>
        <v>1.3913136126971325E-2</v>
      </c>
      <c r="J265">
        <f t="shared" ref="J265:J283" si="29">ABS(C265-G265)</f>
        <v>0.11795395765709316</v>
      </c>
      <c r="K265">
        <f t="shared" ref="K265:K283" si="30">J265/C265</f>
        <v>1.4034002162892851E-3</v>
      </c>
    </row>
    <row r="266" spans="2:11" x14ac:dyDescent="0.2">
      <c r="B266" s="2">
        <v>45505</v>
      </c>
      <c r="C266" s="1">
        <v>79.018636363636304</v>
      </c>
      <c r="E266">
        <f t="shared" si="27"/>
        <v>79.070116496098251</v>
      </c>
      <c r="F266">
        <f t="shared" si="28"/>
        <v>7.70882087952727E-2</v>
      </c>
      <c r="G266">
        <f t="shared" si="25"/>
        <v>79.147204704893525</v>
      </c>
      <c r="I266">
        <f t="shared" si="26"/>
        <v>1.6529818373633279E-2</v>
      </c>
      <c r="J266">
        <f t="shared" si="29"/>
        <v>0.12856834125722116</v>
      </c>
      <c r="K266">
        <f t="shared" si="30"/>
        <v>1.6270635279703107E-3</v>
      </c>
    </row>
    <row r="267" spans="2:11" x14ac:dyDescent="0.2">
      <c r="B267" s="2">
        <v>45536</v>
      </c>
      <c r="C267" s="1">
        <v>73.057619047618999</v>
      </c>
      <c r="E267">
        <f t="shared" si="27"/>
        <v>73.118514904191755</v>
      </c>
      <c r="F267">
        <f t="shared" si="28"/>
        <v>1.6801310788255017E-2</v>
      </c>
      <c r="G267">
        <f t="shared" si="25"/>
        <v>73.135316214980008</v>
      </c>
      <c r="I267">
        <f t="shared" si="26"/>
        <v>6.0368498159246702E-3</v>
      </c>
      <c r="J267">
        <f t="shared" si="29"/>
        <v>7.7697167361009178E-2</v>
      </c>
      <c r="K267">
        <f t="shared" si="30"/>
        <v>1.0635053314612692E-3</v>
      </c>
    </row>
    <row r="268" spans="2:11" x14ac:dyDescent="0.2">
      <c r="B268" s="2">
        <v>45566</v>
      </c>
      <c r="C268" s="1">
        <v>75.266521739130397</v>
      </c>
      <c r="E268">
        <f t="shared" si="27"/>
        <v>75.245209683888888</v>
      </c>
      <c r="F268">
        <f t="shared" si="28"/>
        <v>3.7900245477343789E-2</v>
      </c>
      <c r="G268">
        <f t="shared" si="25"/>
        <v>75.283109929366233</v>
      </c>
      <c r="I268">
        <f t="shared" si="26"/>
        <v>2.7516805530030021E-4</v>
      </c>
      <c r="J268">
        <f t="shared" si="29"/>
        <v>1.6588190235836464E-2</v>
      </c>
      <c r="K268">
        <f t="shared" si="30"/>
        <v>2.2039267728260665E-4</v>
      </c>
    </row>
    <row r="269" spans="2:11" x14ac:dyDescent="0.2">
      <c r="B269" s="2">
        <v>45597</v>
      </c>
      <c r="C269" s="1">
        <v>73.5085714285714</v>
      </c>
      <c r="E269">
        <f t="shared" si="27"/>
        <v>73.526316813579342</v>
      </c>
      <c r="F269">
        <f t="shared" si="28"/>
        <v>2.0332314319474895E-2</v>
      </c>
      <c r="G269">
        <f t="shared" si="25"/>
        <v>73.546649127898817</v>
      </c>
      <c r="I269">
        <f t="shared" si="26"/>
        <v>1.4499111860691563E-3</v>
      </c>
      <c r="J269">
        <f t="shared" si="29"/>
        <v>3.8077699327416781E-2</v>
      </c>
      <c r="K269">
        <f t="shared" si="30"/>
        <v>5.1800352785276265E-4</v>
      </c>
    </row>
    <row r="270" spans="2:11" x14ac:dyDescent="0.2">
      <c r="B270" s="2">
        <v>45627</v>
      </c>
      <c r="C270" s="1">
        <v>73.227727272727194</v>
      </c>
      <c r="E270">
        <f t="shared" si="27"/>
        <v>73.230916491278904</v>
      </c>
      <c r="F270">
        <f t="shared" si="28"/>
        <v>1.7174987953275767E-2</v>
      </c>
      <c r="G270">
        <f t="shared" si="25"/>
        <v>73.248091479232187</v>
      </c>
      <c r="I270">
        <f t="shared" si="26"/>
        <v>4.1470090657801453E-4</v>
      </c>
      <c r="J270">
        <f t="shared" si="29"/>
        <v>2.0364206504993376E-2</v>
      </c>
      <c r="K270">
        <f t="shared" si="30"/>
        <v>2.7809420370441819E-4</v>
      </c>
    </row>
    <row r="271" spans="2:11" x14ac:dyDescent="0.2">
      <c r="B271" s="2">
        <v>45658</v>
      </c>
      <c r="C271" s="1">
        <v>78.193913043478204</v>
      </c>
      <c r="E271">
        <f t="shared" si="27"/>
        <v>78.144454827835744</v>
      </c>
      <c r="F271">
        <f t="shared" si="28"/>
        <v>6.6138621439311401E-2</v>
      </c>
      <c r="G271">
        <f t="shared" si="25"/>
        <v>78.210593449275052</v>
      </c>
      <c r="I271">
        <f t="shared" si="26"/>
        <v>2.7823593754751065E-4</v>
      </c>
      <c r="J271">
        <f t="shared" si="29"/>
        <v>1.6680405796847708E-2</v>
      </c>
      <c r="K271">
        <f t="shared" si="30"/>
        <v>2.1332102650461926E-4</v>
      </c>
    </row>
    <row r="272" spans="2:11" x14ac:dyDescent="0.2">
      <c r="B272" s="2">
        <v>45689</v>
      </c>
      <c r="C272" s="1">
        <v>75.192999999999998</v>
      </c>
      <c r="E272">
        <f t="shared" si="27"/>
        <v>75.223175934492744</v>
      </c>
      <c r="F272">
        <f t="shared" si="28"/>
        <v>3.6264446291488284E-2</v>
      </c>
      <c r="G272">
        <f t="shared" si="25"/>
        <v>75.259440380784227</v>
      </c>
      <c r="I272">
        <f t="shared" si="26"/>
        <v>4.4143241987533582E-3</v>
      </c>
      <c r="J272">
        <f t="shared" si="29"/>
        <v>6.6440380784229092E-2</v>
      </c>
      <c r="K272">
        <f t="shared" si="30"/>
        <v>8.8359795172727638E-4</v>
      </c>
    </row>
    <row r="273" spans="1:11" x14ac:dyDescent="0.2">
      <c r="B273" s="2">
        <v>45717</v>
      </c>
      <c r="C273" s="1">
        <v>71.7414285714285</v>
      </c>
      <c r="E273">
        <f t="shared" si="27"/>
        <v>71.776608689522064</v>
      </c>
      <c r="F273">
        <f t="shared" si="28"/>
        <v>1.4361293788665991E-3</v>
      </c>
      <c r="G273">
        <f t="shared" si="25"/>
        <v>71.778044818900923</v>
      </c>
      <c r="I273">
        <f t="shared" si="26"/>
        <v>1.3407495789617549E-3</v>
      </c>
      <c r="J273">
        <f t="shared" si="29"/>
        <v>3.6616247472423424E-2</v>
      </c>
      <c r="K273">
        <f t="shared" si="30"/>
        <v>5.1039194788220438E-4</v>
      </c>
    </row>
    <row r="274" spans="1:11" x14ac:dyDescent="0.2">
      <c r="B274" s="2">
        <v>45748</v>
      </c>
      <c r="C274" s="1">
        <v>66.927272727272694</v>
      </c>
      <c r="E274">
        <f t="shared" si="27"/>
        <v>66.975780448188971</v>
      </c>
      <c r="F274">
        <f t="shared" si="28"/>
        <v>-4.6586514328252997E-2</v>
      </c>
      <c r="G274">
        <f t="shared" si="25"/>
        <v>66.929193933860716</v>
      </c>
      <c r="I274">
        <f t="shared" si="26"/>
        <v>3.6910347538611645E-6</v>
      </c>
      <c r="J274">
        <f t="shared" si="29"/>
        <v>1.9212065880225282E-3</v>
      </c>
      <c r="K274">
        <f t="shared" si="30"/>
        <v>2.8705884906612091E-5</v>
      </c>
    </row>
    <row r="275" spans="1:11" x14ac:dyDescent="0.2">
      <c r="B275" s="2">
        <v>45778</v>
      </c>
      <c r="C275" s="1">
        <v>64.092727272727203</v>
      </c>
      <c r="E275">
        <f t="shared" si="27"/>
        <v>64.121091939338541</v>
      </c>
      <c r="F275">
        <f t="shared" si="28"/>
        <v>-7.4667534273474764E-2</v>
      </c>
      <c r="G275">
        <f t="shared" si="25"/>
        <v>64.046424405065068</v>
      </c>
      <c r="I275">
        <f t="shared" si="26"/>
        <v>2.1439555537371754E-3</v>
      </c>
      <c r="J275">
        <f t="shared" si="29"/>
        <v>4.6302867662134872E-2</v>
      </c>
      <c r="K275">
        <f t="shared" si="30"/>
        <v>7.2243559655539439E-4</v>
      </c>
    </row>
    <row r="276" spans="1:11" x14ac:dyDescent="0.2">
      <c r="B276" s="2">
        <v>45809</v>
      </c>
      <c r="C276" s="1">
        <v>69.846666666666593</v>
      </c>
      <c r="E276">
        <f t="shared" si="27"/>
        <v>69.78866424405058</v>
      </c>
      <c r="F276">
        <f t="shared" si="28"/>
        <v>-1.7245135883619631E-2</v>
      </c>
      <c r="G276">
        <f t="shared" si="25"/>
        <v>69.771419108166967</v>
      </c>
      <c r="I276">
        <f t="shared" si="26"/>
        <v>5.6621950601546617E-3</v>
      </c>
      <c r="J276">
        <f t="shared" si="29"/>
        <v>7.5247558499626166E-2</v>
      </c>
      <c r="K276">
        <f t="shared" si="30"/>
        <v>1.0773249761328563E-3</v>
      </c>
    </row>
    <row r="277" spans="1:11" x14ac:dyDescent="0.2">
      <c r="B277" s="2">
        <v>45839</v>
      </c>
      <c r="C277" s="1">
        <v>69.564782608695594</v>
      </c>
      <c r="E277">
        <f t="shared" si="27"/>
        <v>69.566848973690313</v>
      </c>
      <c r="F277">
        <f t="shared" si="28"/>
        <v>-1.9290837228386103E-2</v>
      </c>
      <c r="G277">
        <f t="shared" si="25"/>
        <v>69.54755813646193</v>
      </c>
      <c r="I277">
        <f t="shared" si="26"/>
        <v>2.9668244372827249E-4</v>
      </c>
      <c r="J277">
        <f t="shared" si="29"/>
        <v>1.7224472233664301E-2</v>
      </c>
      <c r="K277">
        <f t="shared" si="30"/>
        <v>2.476033358797738E-4</v>
      </c>
    </row>
    <row r="278" spans="1:11" x14ac:dyDescent="0.2">
      <c r="B278" s="2">
        <v>45870</v>
      </c>
      <c r="C278" s="1">
        <v>67.244285714285695</v>
      </c>
      <c r="E278">
        <f t="shared" si="27"/>
        <v>67.267318438507459</v>
      </c>
      <c r="F278">
        <f t="shared" si="28"/>
        <v>-4.2093234207930777E-2</v>
      </c>
      <c r="G278">
        <f t="shared" si="25"/>
        <v>67.225225204299534</v>
      </c>
      <c r="I278">
        <f t="shared" si="26"/>
        <v>3.6330304093255762E-4</v>
      </c>
      <c r="J278">
        <f t="shared" si="29"/>
        <v>1.9060509986161378E-2</v>
      </c>
      <c r="K278">
        <f t="shared" si="30"/>
        <v>2.8345174290567371E-4</v>
      </c>
    </row>
    <row r="279" spans="1:11" x14ac:dyDescent="0.2">
      <c r="B279" s="2">
        <v>45901</v>
      </c>
      <c r="C279" s="1">
        <v>67.609090909090895</v>
      </c>
      <c r="E279">
        <f t="shared" si="27"/>
        <v>67.605252252042973</v>
      </c>
      <c r="F279">
        <f t="shared" si="28"/>
        <v>-3.8292963730496329E-2</v>
      </c>
      <c r="G279">
        <f t="shared" si="25"/>
        <v>67.566959288312475</v>
      </c>
      <c r="I279">
        <f t="shared" si="26"/>
        <v>1.775073469416604E-3</v>
      </c>
      <c r="J279">
        <f t="shared" si="29"/>
        <v>4.2131620778420142E-2</v>
      </c>
      <c r="K279">
        <f t="shared" si="30"/>
        <v>6.2316502428751066E-4</v>
      </c>
    </row>
    <row r="280" spans="1:11" x14ac:dyDescent="0.2">
      <c r="B280" s="2">
        <v>45931</v>
      </c>
      <c r="C280" s="1">
        <v>63.981304347825997</v>
      </c>
      <c r="E280">
        <f t="shared" si="27"/>
        <v>64.017160897230866</v>
      </c>
      <c r="F280">
        <f t="shared" si="28"/>
        <v>-7.3790947641312443E-2</v>
      </c>
      <c r="G280">
        <f t="shared" si="25"/>
        <v>63.943369949589552</v>
      </c>
      <c r="I280">
        <f t="shared" si="26"/>
        <v>1.4390185695611728E-3</v>
      </c>
      <c r="J280">
        <f t="shared" si="29"/>
        <v>3.7934398236444622E-2</v>
      </c>
      <c r="K280">
        <f t="shared" si="30"/>
        <v>5.9289816959996982E-4</v>
      </c>
    </row>
    <row r="281" spans="1:11" x14ac:dyDescent="0.2">
      <c r="B281" s="2">
        <v>45962</v>
      </c>
      <c r="C281" s="1">
        <v>63.6935</v>
      </c>
      <c r="E281">
        <f t="shared" si="27"/>
        <v>63.695998699495895</v>
      </c>
      <c r="F281">
        <f t="shared" si="28"/>
        <v>-7.626466014224903E-2</v>
      </c>
      <c r="G281">
        <f t="shared" si="25"/>
        <v>63.619734039353645</v>
      </c>
      <c r="I281">
        <f t="shared" si="26"/>
        <v>5.4414169500796254E-3</v>
      </c>
      <c r="J281">
        <f t="shared" si="29"/>
        <v>7.3765960646355211E-2</v>
      </c>
      <c r="K281">
        <f t="shared" si="30"/>
        <v>1.1581395377292065E-3</v>
      </c>
    </row>
    <row r="282" spans="1:11" x14ac:dyDescent="0.2">
      <c r="B282" s="2">
        <v>45992</v>
      </c>
      <c r="C282" s="1">
        <v>61.810909090909</v>
      </c>
      <c r="E282">
        <f t="shared" si="27"/>
        <v>61.828997340393443</v>
      </c>
      <c r="F282">
        <f t="shared" si="28"/>
        <v>-9.4172027131851077E-2</v>
      </c>
      <c r="G282">
        <f t="shared" si="25"/>
        <v>61.734825313261588</v>
      </c>
      <c r="I282">
        <f t="shared" si="26"/>
        <v>5.7887412211008182E-3</v>
      </c>
      <c r="J282">
        <f t="shared" si="29"/>
        <v>7.6083777647411921E-2</v>
      </c>
      <c r="K282">
        <f t="shared" si="30"/>
        <v>1.2309118045086662E-3</v>
      </c>
    </row>
    <row r="283" spans="1:11" x14ac:dyDescent="0.2">
      <c r="B283" s="2">
        <v>46023</v>
      </c>
      <c r="C283" s="1">
        <v>64.594090909090895</v>
      </c>
      <c r="E283">
        <f t="shared" si="27"/>
        <v>64.565498253132603</v>
      </c>
      <c r="F283">
        <f t="shared" si="28"/>
        <v>-6.5865297733140954E-2</v>
      </c>
      <c r="G283">
        <f>E283+F283</f>
        <v>64.499632955399463</v>
      </c>
      <c r="H283">
        <v>64.499632955399463</v>
      </c>
      <c r="I283">
        <f t="shared" si="26"/>
        <v>8.9223050155726822E-3</v>
      </c>
      <c r="J283">
        <f t="shared" si="29"/>
        <v>9.445795369143184E-2</v>
      </c>
      <c r="K283">
        <f t="shared" si="30"/>
        <v>1.4623311879157965E-3</v>
      </c>
    </row>
    <row r="284" spans="1:11" x14ac:dyDescent="0.2">
      <c r="A284">
        <v>2</v>
      </c>
      <c r="B284" s="2">
        <v>46054</v>
      </c>
      <c r="H284">
        <f>$E$283+$F$283*A284</f>
        <v>64.433767657666323</v>
      </c>
    </row>
    <row r="285" spans="1:11" x14ac:dyDescent="0.2">
      <c r="A285">
        <v>3</v>
      </c>
      <c r="B285" s="2">
        <v>46082</v>
      </c>
      <c r="H285">
        <f t="shared" ref="H285:H288" si="31">$E$283+$F$283*A285</f>
        <v>64.367902359933183</v>
      </c>
    </row>
    <row r="286" spans="1:11" x14ac:dyDescent="0.2">
      <c r="A286">
        <v>4</v>
      </c>
      <c r="B286" s="2">
        <v>46113</v>
      </c>
      <c r="H286">
        <f t="shared" si="31"/>
        <v>64.302037062200043</v>
      </c>
    </row>
    <row r="287" spans="1:11" x14ac:dyDescent="0.2">
      <c r="A287">
        <v>5</v>
      </c>
      <c r="B287" s="2">
        <v>46143</v>
      </c>
      <c r="H287">
        <f t="shared" si="31"/>
        <v>64.236171764466903</v>
      </c>
    </row>
    <row r="288" spans="1:11" x14ac:dyDescent="0.2">
      <c r="A288">
        <v>6</v>
      </c>
      <c r="B288" s="2">
        <v>46174</v>
      </c>
      <c r="H288">
        <f t="shared" si="31"/>
        <v>64.170306466733763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2049" r:id="rId3">
          <objectPr defaultSize="0" autoPict="0" r:id="rId4">
            <anchor moveWithCells="1" sizeWithCells="1">
              <from>
                <xdr:col>13</xdr:col>
                <xdr:colOff>9525</xdr:colOff>
                <xdr:row>0</xdr:row>
                <xdr:rowOff>85725</xdr:rowOff>
              </from>
              <to>
                <xdr:col>17</xdr:col>
                <xdr:colOff>190500</xdr:colOff>
                <xdr:row>3</xdr:row>
                <xdr:rowOff>19050</xdr:rowOff>
              </to>
            </anchor>
          </objectPr>
        </oleObject>
      </mc:Choice>
      <mc:Fallback>
        <oleObject progId="Equation.3" shapeId="2049" r:id="rId3"/>
      </mc:Fallback>
    </mc:AlternateContent>
    <mc:AlternateContent xmlns:mc="http://schemas.openxmlformats.org/markup-compatibility/2006">
      <mc:Choice Requires="x14">
        <oleObject progId="Equation.3" shapeId="2050" r:id="rId5">
          <objectPr defaultSize="0" autoPict="0" r:id="rId6">
            <anchor moveWithCells="1" sizeWithCells="1">
              <from>
                <xdr:col>13</xdr:col>
                <xdr:colOff>9525</xdr:colOff>
                <xdr:row>3</xdr:row>
                <xdr:rowOff>142875</xdr:rowOff>
              </from>
              <to>
                <xdr:col>17</xdr:col>
                <xdr:colOff>590550</xdr:colOff>
                <xdr:row>5</xdr:row>
                <xdr:rowOff>200025</xdr:rowOff>
              </to>
            </anchor>
          </objectPr>
        </oleObject>
      </mc:Choice>
      <mc:Fallback>
        <oleObject progId="Equation.3" shapeId="2050" r:id="rId5"/>
      </mc:Fallback>
    </mc:AlternateContent>
    <mc:AlternateContent xmlns:mc="http://schemas.openxmlformats.org/markup-compatibility/2006">
      <mc:Choice Requires="x14">
        <oleObject progId="Equation.3" shapeId="2051" r:id="rId7">
          <objectPr defaultSize="0" autoPict="0" r:id="rId8">
            <anchor moveWithCells="1" sizeWithCells="1">
              <from>
                <xdr:col>13</xdr:col>
                <xdr:colOff>19050</xdr:colOff>
                <xdr:row>6</xdr:row>
                <xdr:rowOff>19050</xdr:rowOff>
              </from>
              <to>
                <xdr:col>14</xdr:col>
                <xdr:colOff>476250</xdr:colOff>
                <xdr:row>8</xdr:row>
                <xdr:rowOff>28575</xdr:rowOff>
              </to>
            </anchor>
          </objectPr>
        </oleObject>
      </mc:Choice>
      <mc:Fallback>
        <oleObject progId="Equation.3" shapeId="2051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OilBrent</vt:lpstr>
      <vt:lpstr>OilBrent Brown</vt:lpstr>
      <vt:lpstr>OilBrent Holt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</dc:creator>
  <cp:lastModifiedBy>vc</cp:lastModifiedBy>
  <dcterms:created xsi:type="dcterms:W3CDTF">2026-03-18T05:24:51Z</dcterms:created>
  <dcterms:modified xsi:type="dcterms:W3CDTF">2026-03-22T16:15:13Z</dcterms:modified>
</cp:coreProperties>
</file>